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2bba0090c26178e4/Desktop/Excel Work/Phase 6 Github Files/"/>
    </mc:Choice>
  </mc:AlternateContent>
  <xr:revisionPtr revIDLastSave="637" documentId="11_F25DC773A252ABDACC104896695E700A5BDE58EC" xr6:coauthVersionLast="47" xr6:coauthVersionMax="47" xr10:uidLastSave="{9ED3EEDD-E7DC-464C-8BA5-79609BFFA527}"/>
  <bookViews>
    <workbookView xWindow="-108" yWindow="-108" windowWidth="23256" windowHeight="12456" xr2:uid="{00000000-000D-0000-FFFF-FFFF00000000}"/>
  </bookViews>
  <sheets>
    <sheet name="ML Project" sheetId="1" r:id="rId1"/>
    <sheet name="NLP Projec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 r="G36" i="1"/>
  <c r="G37" i="1"/>
  <c r="G38" i="1"/>
  <c r="G34" i="1"/>
  <c r="F35" i="1"/>
  <c r="F36" i="1"/>
  <c r="F37" i="1"/>
  <c r="F38" i="1"/>
  <c r="F34" i="1"/>
</calcChain>
</file>

<file path=xl/sharedStrings.xml><?xml version="1.0" encoding="utf-8"?>
<sst xmlns="http://schemas.openxmlformats.org/spreadsheetml/2006/main" count="178" uniqueCount="78">
  <si>
    <t>ML PROJECT ANALYSIS</t>
  </si>
  <si>
    <t>#</t>
  </si>
  <si>
    <t>Set Type</t>
  </si>
  <si>
    <t>Metric</t>
  </si>
  <si>
    <t>Original</t>
  </si>
  <si>
    <t>Updated</t>
  </si>
  <si>
    <t>Test</t>
  </si>
  <si>
    <t>MAE</t>
  </si>
  <si>
    <t>RMSE</t>
  </si>
  <si>
    <t>Nifty Standard Deviation</t>
  </si>
  <si>
    <t>MAE / Standard Deviation</t>
  </si>
  <si>
    <t>RMSE / Standard Deviation</t>
  </si>
  <si>
    <t>Regression Model Performance</t>
  </si>
  <si>
    <t>Logistic Classification Performance</t>
  </si>
  <si>
    <t>Accuracy</t>
  </si>
  <si>
    <t>Precision</t>
  </si>
  <si>
    <t>Recall</t>
  </si>
  <si>
    <t>True Positives (TP)</t>
  </si>
  <si>
    <t>True Negatives (TN)</t>
  </si>
  <si>
    <t>False Positives (FP)</t>
  </si>
  <si>
    <t>False Negatives (FN)</t>
  </si>
  <si>
    <t>Total Rows</t>
  </si>
  <si>
    <t>Source: error_summary_view</t>
  </si>
  <si>
    <t>Source: classification_metrics_view</t>
  </si>
  <si>
    <t>Source: classification_confusion_matrix_view</t>
  </si>
  <si>
    <t xml:space="preserve">All Model Performance </t>
  </si>
  <si>
    <t>Source: ensemble_metrics_view</t>
  </si>
  <si>
    <t>Model</t>
  </si>
  <si>
    <t>Logistic</t>
  </si>
  <si>
    <t>Tree</t>
  </si>
  <si>
    <t>Controlled Ensemble</t>
  </si>
  <si>
    <t>Unrestricted Ensemble</t>
  </si>
  <si>
    <t>Updated Reliability Results (Train vs Test)</t>
  </si>
  <si>
    <t>Source: reliability_analysis_view</t>
  </si>
  <si>
    <t>Confidence Category</t>
  </si>
  <si>
    <t>Train</t>
  </si>
  <si>
    <t>Change</t>
  </si>
  <si>
    <t>High Confidence Correct</t>
  </si>
  <si>
    <t>High Confidence Wrong</t>
  </si>
  <si>
    <t>Low Confidence Correct</t>
  </si>
  <si>
    <t>Low Confidence Wrong</t>
  </si>
  <si>
    <t xml:space="preserve"> Logistic Classification Confusion Matrix</t>
  </si>
  <si>
    <t>% of Original</t>
  </si>
  <si>
    <t>% of Updated</t>
  </si>
  <si>
    <t>NLP PROJECT ANALYSIS</t>
  </si>
  <si>
    <t>Source: sentiment_summary</t>
  </si>
  <si>
    <t>Total Days</t>
  </si>
  <si>
    <t>Match Count</t>
  </si>
  <si>
    <t>Failure Count</t>
  </si>
  <si>
    <t>Match Percentage</t>
  </si>
  <si>
    <t>Failure Percentage</t>
  </si>
  <si>
    <t>Source: combined_vs_market_accuracy</t>
  </si>
  <si>
    <t>Mismatch Percentage</t>
  </si>
  <si>
    <t xml:space="preserve">Earning + Theme Signal </t>
  </si>
  <si>
    <t>Combined Signal</t>
  </si>
  <si>
    <t>Strong Positive</t>
  </si>
  <si>
    <t>Conflicting Positive</t>
  </si>
  <si>
    <t>Strong Negative</t>
  </si>
  <si>
    <t>Source: theme_signal_distribution</t>
  </si>
  <si>
    <t>Source: theme_signal_vs_market_analysis</t>
  </si>
  <si>
    <t>Type</t>
  </si>
  <si>
    <t>Stock</t>
  </si>
  <si>
    <t>Market</t>
  </si>
  <si>
    <t xml:space="preserve">Earning + Theme Signal vs Market Analysis </t>
  </si>
  <si>
    <t>Combined Signal (Themes + Entity + Sentiment) vs Market Analysis</t>
  </si>
  <si>
    <t xml:space="preserve">Sentiment Signal vs Market Analysis </t>
  </si>
  <si>
    <t>Logistic A</t>
  </si>
  <si>
    <t>Logistic P</t>
  </si>
  <si>
    <t>Logistic R</t>
  </si>
  <si>
    <t>Tree A</t>
  </si>
  <si>
    <t>Tree P</t>
  </si>
  <si>
    <t>Tree R</t>
  </si>
  <si>
    <t>Controlled Ensemble A</t>
  </si>
  <si>
    <t>Controlled Ensemble P</t>
  </si>
  <si>
    <t>Controlled Ensemble R</t>
  </si>
  <si>
    <t>Unrestricted Ensemble A</t>
  </si>
  <si>
    <t>Unrestricted Ensemble P</t>
  </si>
  <si>
    <t>Unrestricted Ensemble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</si>
</sst>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20"/>
      <color theme="0"/>
      <name val="Calibri"/>
      <family val="2"/>
      <scheme val="minor"/>
    </font>
  </fonts>
  <fills count="4">
    <fill>
      <patternFill patternType="none"/>
    </fill>
    <fill>
      <patternFill patternType="gray125"/>
    </fill>
    <fill>
      <patternFill patternType="solid">
        <fgColor theme="8" tint="-0.499984740745262"/>
        <bgColor indexed="64"/>
      </patternFill>
    </fill>
    <fill>
      <patternFill patternType="solid">
        <fgColor theme="8" tint="-0.249977111117893"/>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0" fontId="2" fillId="3" borderId="0" xfId="0" applyFont="1" applyFill="1"/>
    <xf numFmtId="0" fontId="0" fillId="0" borderId="2" xfId="0" applyBorder="1"/>
    <xf numFmtId="0" fontId="0" fillId="0" borderId="5" xfId="0" applyBorder="1"/>
    <xf numFmtId="0" fontId="0" fillId="0" borderId="1" xfId="0" applyBorder="1"/>
    <xf numFmtId="0" fontId="0" fillId="0" borderId="6" xfId="0" applyBorder="1"/>
    <xf numFmtId="0" fontId="0" fillId="0" borderId="3" xfId="0" applyBorder="1"/>
    <xf numFmtId="0" fontId="3" fillId="0" borderId="1" xfId="0" applyFont="1" applyBorder="1"/>
    <xf numFmtId="0" fontId="3" fillId="0" borderId="1" xfId="0" applyFont="1" applyBorder="1" applyAlignment="1">
      <alignment horizontal="left"/>
    </xf>
    <xf numFmtId="0" fontId="3" fillId="0" borderId="1" xfId="0" applyFont="1" applyBorder="1" applyAlignment="1">
      <alignment horizontal="right"/>
    </xf>
    <xf numFmtId="0" fontId="3" fillId="0" borderId="2" xfId="0" applyFont="1" applyBorder="1" applyAlignment="1">
      <alignment horizontal="right"/>
    </xf>
    <xf numFmtId="0" fontId="3" fillId="0" borderId="0" xfId="0" applyFont="1"/>
    <xf numFmtId="10" fontId="0" fillId="0" borderId="5" xfId="0" applyNumberFormat="1" applyBorder="1"/>
    <xf numFmtId="10" fontId="0" fillId="0" borderId="4" xfId="0" applyNumberFormat="1" applyBorder="1"/>
    <xf numFmtId="10" fontId="0" fillId="0" borderId="6" xfId="0" applyNumberFormat="1" applyBorder="1"/>
    <xf numFmtId="10" fontId="0" fillId="0" borderId="3" xfId="0" applyNumberFormat="1" applyBorder="1"/>
    <xf numFmtId="10" fontId="0" fillId="0" borderId="6" xfId="1" applyNumberFormat="1" applyFont="1" applyBorder="1"/>
    <xf numFmtId="10" fontId="0" fillId="0" borderId="3" xfId="1" applyNumberFormat="1" applyFont="1" applyBorder="1"/>
    <xf numFmtId="10" fontId="0" fillId="0" borderId="1" xfId="1" applyNumberFormat="1" applyFont="1" applyBorder="1"/>
    <xf numFmtId="10" fontId="0" fillId="0" borderId="5" xfId="1" applyNumberFormat="1" applyFont="1" applyBorder="1"/>
    <xf numFmtId="10" fontId="0" fillId="0" borderId="4" xfId="1" applyNumberFormat="1" applyFont="1" applyBorder="1"/>
    <xf numFmtId="0" fontId="3" fillId="0" borderId="6" xfId="0" applyFont="1" applyBorder="1"/>
    <xf numFmtId="0" fontId="3" fillId="0" borderId="3" xfId="0" applyFont="1" applyBorder="1"/>
    <xf numFmtId="0" fontId="3" fillId="0" borderId="7" xfId="0" applyFont="1" applyBorder="1"/>
    <xf numFmtId="10" fontId="0" fillId="0" borderId="7" xfId="0" applyNumberFormat="1" applyBorder="1"/>
    <xf numFmtId="10" fontId="0" fillId="0" borderId="8" xfId="0" applyNumberFormat="1" applyBorder="1"/>
    <xf numFmtId="10" fontId="0" fillId="0" borderId="7" xfId="1" applyNumberFormat="1" applyFont="1" applyBorder="1"/>
    <xf numFmtId="0" fontId="3" fillId="0" borderId="6" xfId="0" applyFont="1" applyBorder="1">
      <extLst>
        <ext xmlns:xfpb="http://schemas.microsoft.com/office/spreadsheetml/2022/featurepropertybag" uri="{C7286773-470A-42A8-94C5-96B5CB345126}">
          <xfpb:xfComplement i="0"/>
        </ext>
      </extLst>
    </xf>
    <xf numFmtId="10" fontId="0" fillId="0" borderId="6" xfId="1" applyNumberFormat="1" applyFont="1" applyBorder="1">
      <extLst>
        <ext xmlns:xfpb="http://schemas.microsoft.com/office/spreadsheetml/2022/featurepropertybag" uri="{C7286773-470A-42A8-94C5-96B5CB345126}">
          <xfpb:xfComplement i="0"/>
        </ext>
      </extLst>
    </xf>
    <xf numFmtId="0" fontId="3" fillId="0" borderId="3" xfId="0" applyFont="1" applyBorder="1">
      <extLst>
        <ext xmlns:xfpb="http://schemas.microsoft.com/office/spreadsheetml/2022/featurepropertybag" uri="{C7286773-470A-42A8-94C5-96B5CB345126}">
          <xfpb:xfComplement i="0"/>
        </ext>
      </extLst>
    </xf>
    <xf numFmtId="10" fontId="0" fillId="0" borderId="3" xfId="1" applyNumberFormat="1" applyFont="1" applyBorder="1">
      <extLst>
        <ext xmlns:xfpb="http://schemas.microsoft.com/office/spreadsheetml/2022/featurepropertybag" uri="{C7286773-470A-42A8-94C5-96B5CB345126}">
          <xfpb:xfComplement i="0"/>
        </ext>
      </extLst>
    </xf>
    <xf numFmtId="10" fontId="0" fillId="0" borderId="0" xfId="1" applyNumberFormat="1" applyFont="1" applyBorder="1"/>
    <xf numFmtId="10" fontId="0" fillId="0" borderId="0" xfId="0" applyNumberFormat="1"/>
    <xf numFmtId="2" fontId="0" fillId="0" borderId="5" xfId="0" applyNumberFormat="1" applyBorder="1"/>
    <xf numFmtId="2" fontId="0" fillId="0" borderId="4" xfId="0" applyNumberFormat="1" applyBorder="1"/>
    <xf numFmtId="0" fontId="4" fillId="2" borderId="0" xfId="0" applyFont="1" applyFill="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i="0" u="none" strike="noStrike" baseline="0"/>
              <a:t>Regression Error Metrics</a:t>
            </a:r>
            <a:endParaRPr lang="en-IN"/>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'ML Project'!$D$8</c:f>
              <c:strCache>
                <c:ptCount val="1"/>
                <c:pt idx="0">
                  <c:v>Original</c:v>
                </c:pt>
              </c:strCache>
            </c:strRef>
          </c:tx>
          <c:spPr>
            <a:solidFill>
              <a:schemeClr val="accent1"/>
            </a:solidFill>
            <a:ln>
              <a:noFill/>
            </a:ln>
            <a:effectLst/>
          </c:spPr>
          <c:invertIfNegative val="0"/>
          <c:cat>
            <c:strRef>
              <c:f>'ML Project'!$C$9:$C$11</c:f>
              <c:strCache>
                <c:ptCount val="3"/>
                <c:pt idx="0">
                  <c:v>MAE</c:v>
                </c:pt>
                <c:pt idx="1">
                  <c:v>RMSE</c:v>
                </c:pt>
                <c:pt idx="2">
                  <c:v>Nifty Standard Deviation</c:v>
                </c:pt>
              </c:strCache>
            </c:strRef>
          </c:cat>
          <c:val>
            <c:numRef>
              <c:f>'ML Project'!$D$9:$D$11</c:f>
              <c:numCache>
                <c:formatCode>General</c:formatCode>
                <c:ptCount val="3"/>
                <c:pt idx="0">
                  <c:v>2.5600000000000002E-3</c:v>
                </c:pt>
                <c:pt idx="1">
                  <c:v>3.4199999999999999E-3</c:v>
                </c:pt>
                <c:pt idx="2">
                  <c:v>8.26E-3</c:v>
                </c:pt>
              </c:numCache>
            </c:numRef>
          </c:val>
          <c:extLst>
            <c:ext xmlns:c16="http://schemas.microsoft.com/office/drawing/2014/chart" uri="{C3380CC4-5D6E-409C-BE32-E72D297353CC}">
              <c16:uniqueId val="{00000000-8B04-4BEF-B200-CAA8770D3EB5}"/>
            </c:ext>
          </c:extLst>
        </c:ser>
        <c:ser>
          <c:idx val="1"/>
          <c:order val="1"/>
          <c:tx>
            <c:strRef>
              <c:f>'ML Project'!$E$8</c:f>
              <c:strCache>
                <c:ptCount val="1"/>
                <c:pt idx="0">
                  <c:v>Updated</c:v>
                </c:pt>
              </c:strCache>
            </c:strRef>
          </c:tx>
          <c:spPr>
            <a:solidFill>
              <a:schemeClr val="accent2"/>
            </a:solidFill>
            <a:ln>
              <a:noFill/>
            </a:ln>
            <a:effectLst/>
          </c:spPr>
          <c:invertIfNegative val="0"/>
          <c:cat>
            <c:strRef>
              <c:f>'ML Project'!$C$9:$C$11</c:f>
              <c:strCache>
                <c:ptCount val="3"/>
                <c:pt idx="0">
                  <c:v>MAE</c:v>
                </c:pt>
                <c:pt idx="1">
                  <c:v>RMSE</c:v>
                </c:pt>
                <c:pt idx="2">
                  <c:v>Nifty Standard Deviation</c:v>
                </c:pt>
              </c:strCache>
            </c:strRef>
          </c:cat>
          <c:val>
            <c:numRef>
              <c:f>'ML Project'!$E$9:$E$11</c:f>
              <c:numCache>
                <c:formatCode>General</c:formatCode>
                <c:ptCount val="3"/>
                <c:pt idx="0">
                  <c:v>2.6970000000000002E-3</c:v>
                </c:pt>
                <c:pt idx="1">
                  <c:v>3.5799999999999998E-3</c:v>
                </c:pt>
                <c:pt idx="2">
                  <c:v>8.5950000000000002E-3</c:v>
                </c:pt>
              </c:numCache>
            </c:numRef>
          </c:val>
          <c:extLst>
            <c:ext xmlns:c16="http://schemas.microsoft.com/office/drawing/2014/chart" uri="{C3380CC4-5D6E-409C-BE32-E72D297353CC}">
              <c16:uniqueId val="{00000001-8B04-4BEF-B200-CAA8770D3EB5}"/>
            </c:ext>
          </c:extLst>
        </c:ser>
        <c:dLbls>
          <c:showLegendKey val="0"/>
          <c:showVal val="0"/>
          <c:showCatName val="0"/>
          <c:showSerName val="0"/>
          <c:showPercent val="0"/>
          <c:showBubbleSize val="0"/>
        </c:dLbls>
        <c:gapWidth val="219"/>
        <c:overlap val="-27"/>
        <c:axId val="435614416"/>
        <c:axId val="435615376"/>
      </c:barChart>
      <c:catAx>
        <c:axId val="4356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5376"/>
        <c:crosses val="autoZero"/>
        <c:auto val="1"/>
        <c:lblAlgn val="ctr"/>
        <c:lblOffset val="100"/>
        <c:noMultiLvlLbl val="0"/>
      </c:catAx>
      <c:valAx>
        <c:axId val="435615376"/>
        <c:scaling>
          <c:orientation val="minMax"/>
        </c:scaling>
        <c:delete val="0"/>
        <c:axPos val="l"/>
        <c:numFmt formatCode="General"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441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i="0" u="none" strike="noStrike" baseline="0"/>
              <a:t>Logistic Classification Comparison</a:t>
            </a:r>
            <a:endParaRPr lang="en-IN"/>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'ML Project'!$D$21</c:f>
              <c:strCache>
                <c:ptCount val="1"/>
                <c:pt idx="0">
                  <c:v>Original</c:v>
                </c:pt>
              </c:strCache>
            </c:strRef>
          </c:tx>
          <c:spPr>
            <a:solidFill>
              <a:schemeClr val="accent1"/>
            </a:solidFill>
            <a:ln>
              <a:noFill/>
            </a:ln>
            <a:effectLst/>
          </c:spPr>
          <c:invertIfNegative val="0"/>
          <c:cat>
            <c:strRef>
              <c:f>'ML Project'!$C$22:$C$24</c:f>
              <c:strCache>
                <c:ptCount val="3"/>
                <c:pt idx="0">
                  <c:v>Accuracy</c:v>
                </c:pt>
                <c:pt idx="1">
                  <c:v>Precision</c:v>
                </c:pt>
                <c:pt idx="2">
                  <c:v>Recall</c:v>
                </c:pt>
              </c:strCache>
            </c:strRef>
          </c:cat>
          <c:val>
            <c:numRef>
              <c:f>'ML Project'!$D$22:$D$24</c:f>
              <c:numCache>
                <c:formatCode>0.00%</c:formatCode>
                <c:ptCount val="3"/>
                <c:pt idx="0">
                  <c:v>0.86299999999999999</c:v>
                </c:pt>
                <c:pt idx="1">
                  <c:v>0.875</c:v>
                </c:pt>
                <c:pt idx="2">
                  <c:v>0.89600000000000002</c:v>
                </c:pt>
              </c:numCache>
            </c:numRef>
          </c:val>
          <c:extLst>
            <c:ext xmlns:c16="http://schemas.microsoft.com/office/drawing/2014/chart" uri="{C3380CC4-5D6E-409C-BE32-E72D297353CC}">
              <c16:uniqueId val="{00000000-263B-4AB2-84C0-0BAFEF9C5158}"/>
            </c:ext>
          </c:extLst>
        </c:ser>
        <c:ser>
          <c:idx val="1"/>
          <c:order val="1"/>
          <c:tx>
            <c:strRef>
              <c:f>'ML Project'!$E$21</c:f>
              <c:strCache>
                <c:ptCount val="1"/>
                <c:pt idx="0">
                  <c:v>Updated</c:v>
                </c:pt>
              </c:strCache>
            </c:strRef>
          </c:tx>
          <c:spPr>
            <a:solidFill>
              <a:schemeClr val="accent2"/>
            </a:solidFill>
            <a:ln>
              <a:noFill/>
            </a:ln>
            <a:effectLst/>
          </c:spPr>
          <c:invertIfNegative val="0"/>
          <c:cat>
            <c:strRef>
              <c:f>'ML Project'!$C$22:$C$24</c:f>
              <c:strCache>
                <c:ptCount val="3"/>
                <c:pt idx="0">
                  <c:v>Accuracy</c:v>
                </c:pt>
                <c:pt idx="1">
                  <c:v>Precision</c:v>
                </c:pt>
                <c:pt idx="2">
                  <c:v>Recall</c:v>
                </c:pt>
              </c:strCache>
            </c:strRef>
          </c:cat>
          <c:val>
            <c:numRef>
              <c:f>'ML Project'!$E$22:$E$24</c:f>
              <c:numCache>
                <c:formatCode>0.00%</c:formatCode>
                <c:ptCount val="3"/>
                <c:pt idx="0">
                  <c:v>0.86350000000000005</c:v>
                </c:pt>
                <c:pt idx="1">
                  <c:v>0.87839999999999996</c:v>
                </c:pt>
                <c:pt idx="2">
                  <c:v>0.86270000000000002</c:v>
                </c:pt>
              </c:numCache>
            </c:numRef>
          </c:val>
          <c:extLst>
            <c:ext xmlns:c16="http://schemas.microsoft.com/office/drawing/2014/chart" uri="{C3380CC4-5D6E-409C-BE32-E72D297353CC}">
              <c16:uniqueId val="{00000001-263B-4AB2-84C0-0BAFEF9C5158}"/>
            </c:ext>
          </c:extLst>
        </c:ser>
        <c:dLbls>
          <c:showLegendKey val="0"/>
          <c:showVal val="0"/>
          <c:showCatName val="0"/>
          <c:showSerName val="0"/>
          <c:showPercent val="0"/>
          <c:showBubbleSize val="0"/>
        </c:dLbls>
        <c:gapWidth val="219"/>
        <c:overlap val="-27"/>
        <c:axId val="435614416"/>
        <c:axId val="435615376"/>
      </c:barChart>
      <c:catAx>
        <c:axId val="4356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5376"/>
        <c:crosses val="autoZero"/>
        <c:auto val="1"/>
        <c:lblAlgn val="ctr"/>
        <c:lblOffset val="100"/>
        <c:noMultiLvlLbl val="0"/>
      </c:catAx>
      <c:valAx>
        <c:axId val="435615376"/>
        <c:scaling>
          <c:orientation val="minMax"/>
          <c:max val="1"/>
          <c:min val="0"/>
        </c:scaling>
        <c:delete val="0"/>
        <c:axPos val="l"/>
        <c:numFmt formatCode="0.00%"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4416"/>
        <c:crosses val="autoZero"/>
        <c:crossBetween val="between"/>
        <c:majorUnit val="0.2"/>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i="0" u="none" strike="noStrike" baseline="0"/>
              <a:t>Confusion Matrix Comparison</a:t>
            </a:r>
            <a:endParaRPr lang="en-IN"/>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'ML Project'!$F$33</c:f>
              <c:strCache>
                <c:ptCount val="1"/>
                <c:pt idx="0">
                  <c:v>% of Original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'ML Project'!$C$34:$C$37</c:f>
              <c:strCache>
                <c:ptCount val="4"/>
                <c:pt idx="0">
                  <c:v>True Positives (TP)</c:v>
                </c:pt>
                <c:pt idx="1">
                  <c:v>True Negatives (TN)</c:v>
                </c:pt>
                <c:pt idx="2">
                  <c:v>False Positives (FP)</c:v>
                </c:pt>
                <c:pt idx="3">
                  <c:v>False Negatives (FN)</c:v>
                </c:pt>
              </c:strCache>
            </c:strRef>
          </c:cat>
          <c:val>
            <c:numRef>
              <c:f>'ML Project'!$F$34:$F$37</c:f>
              <c:numCache>
                <c:formatCode>0.00%</c:formatCode>
                <c:ptCount val="4"/>
                <c:pt idx="0">
                  <c:v>0.46966731898238745</c:v>
                </c:pt>
                <c:pt idx="1">
                  <c:v>0.39334637964774949</c:v>
                </c:pt>
                <c:pt idx="2">
                  <c:v>6.6536203522504889E-2</c:v>
                </c:pt>
                <c:pt idx="3">
                  <c:v>7.0450097847358117E-2</c:v>
                </c:pt>
              </c:numCache>
            </c:numRef>
          </c:val>
          <c:extLst>
            <c:ext xmlns:c16="http://schemas.microsoft.com/office/drawing/2014/chart" uri="{C3380CC4-5D6E-409C-BE32-E72D297353CC}">
              <c16:uniqueId val="{00000003-F871-458D-A9CD-C93B13F6BC5B}"/>
            </c:ext>
          </c:extLst>
        </c:ser>
        <c:ser>
          <c:idx val="1"/>
          <c:order val="1"/>
          <c:tx>
            <c:strRef>
              <c:f>'ML Project'!$G$33</c:f>
              <c:strCache>
                <c:ptCount val="1"/>
                <c:pt idx="0">
                  <c:v>% of Updated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'ML Project'!$C$34:$C$37</c:f>
              <c:strCache>
                <c:ptCount val="4"/>
                <c:pt idx="0">
                  <c:v>True Positives (TP)</c:v>
                </c:pt>
                <c:pt idx="1">
                  <c:v>True Negatives (TN)</c:v>
                </c:pt>
                <c:pt idx="2">
                  <c:v>False Positives (FP)</c:v>
                </c:pt>
                <c:pt idx="3">
                  <c:v>False Negatives (FN)</c:v>
                </c:pt>
              </c:strCache>
            </c:strRef>
          </c:cat>
          <c:val>
            <c:numRef>
              <c:f>'ML Project'!$G$34:$G$37</c:f>
              <c:numCache>
                <c:formatCode>0.00%</c:formatCode>
                <c:ptCount val="4"/>
                <c:pt idx="0">
                  <c:v>0.45873015873015871</c:v>
                </c:pt>
                <c:pt idx="1">
                  <c:v>0.40476190476190477</c:v>
                </c:pt>
                <c:pt idx="2">
                  <c:v>6.3492063492063489E-2</c:v>
                </c:pt>
                <c:pt idx="3">
                  <c:v>7.301587301587302E-2</c:v>
                </c:pt>
              </c:numCache>
            </c:numRef>
          </c:val>
          <c:extLst>
            <c:ext xmlns:c16="http://schemas.microsoft.com/office/drawing/2014/chart" uri="{C3380CC4-5D6E-409C-BE32-E72D297353CC}">
              <c16:uniqueId val="{00000005-F871-458D-A9CD-C93B13F6BC5B}"/>
            </c:ext>
          </c:extLst>
        </c:ser>
        <c:dLbls>
          <c:showLegendKey val="0"/>
          <c:showVal val="0"/>
          <c:showCatName val="0"/>
          <c:showSerName val="0"/>
          <c:showPercent val="0"/>
          <c:showBubbleSize val="0"/>
        </c:dLbls>
        <c:gapWidth val="219"/>
        <c:overlap val="-27"/>
        <c:axId val="435614416"/>
        <c:axId val="435615376"/>
      </c:barChart>
      <c:catAx>
        <c:axId val="4356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5376"/>
        <c:crosses val="autoZero"/>
        <c:auto val="1"/>
        <c:lblAlgn val="ctr"/>
        <c:lblOffset val="100"/>
        <c:noMultiLvlLbl val="0"/>
      </c:catAx>
      <c:valAx>
        <c:axId val="435615376"/>
        <c:scaling>
          <c:orientation val="minMax"/>
          <c:max val="0.60000000000000009"/>
        </c:scaling>
        <c:delete val="0"/>
        <c:axPos val="l"/>
        <c:numFmt formatCode="0.00%"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441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a:t>All Model Performance </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'ML Project'!$E$47</c:f>
              <c:strCache>
                <c:ptCount val="1"/>
                <c:pt idx="0">
                  <c:v>Original</c:v>
                </c:pt>
              </c:strCache>
            </c:strRef>
          </c:tx>
          <c:spPr>
            <a:solidFill>
              <a:schemeClr val="accent1"/>
            </a:solidFill>
            <a:ln>
              <a:noFill/>
            </a:ln>
            <a:effectLst/>
          </c:spPr>
          <c:invertIfNegative val="0"/>
          <c:cat>
            <c:strRef>
              <c:f>('ML Project'!$B$48:$B$59,'ML Project'!$D$48:$D$59)</c:f>
              <c:strCache>
                <c:ptCount val="24"/>
                <c:pt idx="0">
                  <c:v>Logistic A</c:v>
                </c:pt>
                <c:pt idx="1">
                  <c:v>Logistic P</c:v>
                </c:pt>
                <c:pt idx="2">
                  <c:v>Logistic R</c:v>
                </c:pt>
                <c:pt idx="3">
                  <c:v>Tree A</c:v>
                </c:pt>
                <c:pt idx="4">
                  <c:v>Tree P</c:v>
                </c:pt>
                <c:pt idx="5">
                  <c:v>Tree R</c:v>
                </c:pt>
                <c:pt idx="6">
                  <c:v>Controlled Ensemble A</c:v>
                </c:pt>
                <c:pt idx="7">
                  <c:v>Controlled Ensemble P</c:v>
                </c:pt>
                <c:pt idx="8">
                  <c:v>Controlled Ensemble R</c:v>
                </c:pt>
                <c:pt idx="9">
                  <c:v>Unrestricted Ensemble A</c:v>
                </c:pt>
                <c:pt idx="10">
                  <c:v>Unrestricted Ensemble P</c:v>
                </c:pt>
                <c:pt idx="11">
                  <c:v>Unrestricted Ensemble R</c:v>
                </c:pt>
                <c:pt idx="12">
                  <c:v>Accuracy</c:v>
                </c:pt>
                <c:pt idx="13">
                  <c:v>Precision</c:v>
                </c:pt>
                <c:pt idx="14">
                  <c:v>Recall</c:v>
                </c:pt>
                <c:pt idx="15">
                  <c:v>Accuracy</c:v>
                </c:pt>
                <c:pt idx="16">
                  <c:v>Precision</c:v>
                </c:pt>
                <c:pt idx="17">
                  <c:v>Recall</c:v>
                </c:pt>
                <c:pt idx="18">
                  <c:v>Accuracy</c:v>
                </c:pt>
                <c:pt idx="19">
                  <c:v>Precision</c:v>
                </c:pt>
                <c:pt idx="20">
                  <c:v>Recall</c:v>
                </c:pt>
                <c:pt idx="21">
                  <c:v>Accuracy</c:v>
                </c:pt>
                <c:pt idx="22">
                  <c:v>Precision</c:v>
                </c:pt>
                <c:pt idx="23">
                  <c:v>Recall</c:v>
                </c:pt>
              </c:strCache>
            </c:strRef>
          </c:cat>
          <c:val>
            <c:numRef>
              <c:f>'ML Project'!$E$48:$E$59</c:f>
              <c:numCache>
                <c:formatCode>0.00%</c:formatCode>
                <c:ptCount val="12"/>
                <c:pt idx="0">
                  <c:v>0.86299999999999999</c:v>
                </c:pt>
                <c:pt idx="1">
                  <c:v>0.875</c:v>
                </c:pt>
                <c:pt idx="2">
                  <c:v>0.89600000000000002</c:v>
                </c:pt>
                <c:pt idx="3">
                  <c:v>0.84699999999999998</c:v>
                </c:pt>
                <c:pt idx="4">
                  <c:v>0.86299999999999999</c:v>
                </c:pt>
                <c:pt idx="5">
                  <c:v>0.89100000000000001</c:v>
                </c:pt>
                <c:pt idx="6">
                  <c:v>0.83099999999999996</c:v>
                </c:pt>
                <c:pt idx="7">
                  <c:v>0.83399999999999996</c:v>
                </c:pt>
                <c:pt idx="8">
                  <c:v>0.85799999999999998</c:v>
                </c:pt>
                <c:pt idx="9">
                  <c:v>0.82599999999999996</c:v>
                </c:pt>
                <c:pt idx="10">
                  <c:v>0.83</c:v>
                </c:pt>
                <c:pt idx="11">
                  <c:v>0.85099999999999998</c:v>
                </c:pt>
              </c:numCache>
            </c:numRef>
          </c:val>
          <c:extLst>
            <c:ext xmlns:c16="http://schemas.microsoft.com/office/drawing/2014/chart" uri="{C3380CC4-5D6E-409C-BE32-E72D297353CC}">
              <c16:uniqueId val="{00000000-C8DD-4791-A33A-E5DCAF244980}"/>
            </c:ext>
          </c:extLst>
        </c:ser>
        <c:ser>
          <c:idx val="1"/>
          <c:order val="1"/>
          <c:tx>
            <c:strRef>
              <c:f>'ML Project'!$F$47</c:f>
              <c:strCache>
                <c:ptCount val="1"/>
                <c:pt idx="0">
                  <c:v>Updated</c:v>
                </c:pt>
              </c:strCache>
            </c:strRef>
          </c:tx>
          <c:spPr>
            <a:solidFill>
              <a:schemeClr val="accent2"/>
            </a:solidFill>
            <a:ln>
              <a:noFill/>
            </a:ln>
            <a:effectLst/>
          </c:spPr>
          <c:invertIfNegative val="0"/>
          <c:cat>
            <c:strRef>
              <c:f>('ML Project'!$B$48:$B$59,'ML Project'!$D$48:$D$59)</c:f>
              <c:strCache>
                <c:ptCount val="24"/>
                <c:pt idx="0">
                  <c:v>Logistic A</c:v>
                </c:pt>
                <c:pt idx="1">
                  <c:v>Logistic P</c:v>
                </c:pt>
                <c:pt idx="2">
                  <c:v>Logistic R</c:v>
                </c:pt>
                <c:pt idx="3">
                  <c:v>Tree A</c:v>
                </c:pt>
                <c:pt idx="4">
                  <c:v>Tree P</c:v>
                </c:pt>
                <c:pt idx="5">
                  <c:v>Tree R</c:v>
                </c:pt>
                <c:pt idx="6">
                  <c:v>Controlled Ensemble A</c:v>
                </c:pt>
                <c:pt idx="7">
                  <c:v>Controlled Ensemble P</c:v>
                </c:pt>
                <c:pt idx="8">
                  <c:v>Controlled Ensemble R</c:v>
                </c:pt>
                <c:pt idx="9">
                  <c:v>Unrestricted Ensemble A</c:v>
                </c:pt>
                <c:pt idx="10">
                  <c:v>Unrestricted Ensemble P</c:v>
                </c:pt>
                <c:pt idx="11">
                  <c:v>Unrestricted Ensemble R</c:v>
                </c:pt>
                <c:pt idx="12">
                  <c:v>Accuracy</c:v>
                </c:pt>
                <c:pt idx="13">
                  <c:v>Precision</c:v>
                </c:pt>
                <c:pt idx="14">
                  <c:v>Recall</c:v>
                </c:pt>
                <c:pt idx="15">
                  <c:v>Accuracy</c:v>
                </c:pt>
                <c:pt idx="16">
                  <c:v>Precision</c:v>
                </c:pt>
                <c:pt idx="17">
                  <c:v>Recall</c:v>
                </c:pt>
                <c:pt idx="18">
                  <c:v>Accuracy</c:v>
                </c:pt>
                <c:pt idx="19">
                  <c:v>Precision</c:v>
                </c:pt>
                <c:pt idx="20">
                  <c:v>Recall</c:v>
                </c:pt>
                <c:pt idx="21">
                  <c:v>Accuracy</c:v>
                </c:pt>
                <c:pt idx="22">
                  <c:v>Precision</c:v>
                </c:pt>
                <c:pt idx="23">
                  <c:v>Recall</c:v>
                </c:pt>
              </c:strCache>
            </c:strRef>
          </c:cat>
          <c:val>
            <c:numRef>
              <c:f>'ML Project'!$F$48:$F$59</c:f>
              <c:numCache>
                <c:formatCode>0.00%</c:formatCode>
                <c:ptCount val="12"/>
                <c:pt idx="0">
                  <c:v>0.86350000000000005</c:v>
                </c:pt>
                <c:pt idx="1">
                  <c:v>0.87849999999999995</c:v>
                </c:pt>
                <c:pt idx="2">
                  <c:v>0.86270000000000002</c:v>
                </c:pt>
                <c:pt idx="3">
                  <c:v>0.85399999999999998</c:v>
                </c:pt>
                <c:pt idx="4">
                  <c:v>0.83840000000000003</c:v>
                </c:pt>
                <c:pt idx="5">
                  <c:v>0.89849999999999997</c:v>
                </c:pt>
                <c:pt idx="6">
                  <c:v>0.83020000000000005</c:v>
                </c:pt>
                <c:pt idx="7">
                  <c:v>0.83140000000000003</c:v>
                </c:pt>
                <c:pt idx="8">
                  <c:v>0.85370000000000001</c:v>
                </c:pt>
                <c:pt idx="9">
                  <c:v>0.8286</c:v>
                </c:pt>
                <c:pt idx="10">
                  <c:v>0.83279999999999998</c:v>
                </c:pt>
                <c:pt idx="11">
                  <c:v>0.8478</c:v>
                </c:pt>
              </c:numCache>
            </c:numRef>
          </c:val>
          <c:extLst>
            <c:ext xmlns:c16="http://schemas.microsoft.com/office/drawing/2014/chart" uri="{C3380CC4-5D6E-409C-BE32-E72D297353CC}">
              <c16:uniqueId val="{00000001-C8DD-4791-A33A-E5DCAF244980}"/>
            </c:ext>
          </c:extLst>
        </c:ser>
        <c:dLbls>
          <c:showLegendKey val="0"/>
          <c:showVal val="0"/>
          <c:showCatName val="0"/>
          <c:showSerName val="0"/>
          <c:showPercent val="0"/>
          <c:showBubbleSize val="0"/>
        </c:dLbls>
        <c:gapWidth val="182"/>
        <c:axId val="1395769695"/>
        <c:axId val="1395765855"/>
      </c:barChart>
      <c:catAx>
        <c:axId val="139576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5765855"/>
        <c:crosses val="autoZero"/>
        <c:auto val="1"/>
        <c:lblAlgn val="ctr"/>
        <c:lblOffset val="100"/>
        <c:noMultiLvlLbl val="0"/>
      </c:catAx>
      <c:valAx>
        <c:axId val="1395765855"/>
        <c:scaling>
          <c:orientation val="minMax"/>
          <c:min val="0"/>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5769695"/>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i="0" u="none" strike="noStrike" baseline="0"/>
              <a:t>Sentiment Signal vs Market Analysis </a:t>
            </a:r>
            <a:endParaRPr lang="en-IN"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'NLP Project'!$B$12</c:f>
              <c:strCache>
                <c:ptCount val="1"/>
                <c:pt idx="0">
                  <c:v>Match 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'NLP Project'!$C$8:$D$8</c:f>
              <c:strCache>
                <c:ptCount val="2"/>
                <c:pt idx="0">
                  <c:v>Original</c:v>
                </c:pt>
                <c:pt idx="1">
                  <c:v>Updated</c:v>
                </c:pt>
              </c:strCache>
            </c:strRef>
          </c:cat>
          <c:val>
            <c:numRef>
              <c:f>'NLP Project'!$C$12:$D$12</c:f>
              <c:numCache>
                <c:formatCode>0.00%</c:formatCode>
                <c:ptCount val="2"/>
                <c:pt idx="0">
                  <c:v>0.50339999999999996</c:v>
                </c:pt>
                <c:pt idx="1">
                  <c:v>0.50749999999999995</c:v>
                </c:pt>
              </c:numCache>
            </c:numRef>
          </c:val>
          <c:extLst>
            <c:ext xmlns:c16="http://schemas.microsoft.com/office/drawing/2014/chart" uri="{C3380CC4-5D6E-409C-BE32-E72D297353CC}">
              <c16:uniqueId val="{00000000-6D73-42D2-ADAB-44E92C0C0F28}"/>
            </c:ext>
          </c:extLst>
        </c:ser>
        <c:ser>
          <c:idx val="1"/>
          <c:order val="1"/>
          <c:tx>
            <c:strRef>
              <c:f>'NLP Project'!$B$13</c:f>
              <c:strCache>
                <c:ptCount val="1"/>
                <c:pt idx="0">
                  <c:v>Failure Percentage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'NLP Project'!$C$8:$D$8</c:f>
              <c:strCache>
                <c:ptCount val="2"/>
                <c:pt idx="0">
                  <c:v>Original</c:v>
                </c:pt>
                <c:pt idx="1">
                  <c:v>Updated</c:v>
                </c:pt>
              </c:strCache>
            </c:strRef>
          </c:cat>
          <c:val>
            <c:numRef>
              <c:f>'NLP Project'!$C$13:$D$13</c:f>
              <c:numCache>
                <c:formatCode>0.00%</c:formatCode>
                <c:ptCount val="2"/>
                <c:pt idx="0">
                  <c:v>0.49659999999999999</c:v>
                </c:pt>
                <c:pt idx="1">
                  <c:v>0.49249999999999999</c:v>
                </c:pt>
              </c:numCache>
            </c:numRef>
          </c:val>
          <c:extLst>
            <c:ext xmlns:c16="http://schemas.microsoft.com/office/drawing/2014/chart" uri="{C3380CC4-5D6E-409C-BE32-E72D297353CC}">
              <c16:uniqueId val="{00000001-6D73-42D2-ADAB-44E92C0C0F28}"/>
            </c:ext>
          </c:extLst>
        </c:ser>
        <c:dLbls>
          <c:showLegendKey val="0"/>
          <c:showVal val="0"/>
          <c:showCatName val="0"/>
          <c:showSerName val="0"/>
          <c:showPercent val="0"/>
          <c:showBubbleSize val="0"/>
        </c:dLbls>
        <c:gapWidth val="219"/>
        <c:overlap val="-27"/>
        <c:axId val="435614416"/>
        <c:axId val="435615376"/>
      </c:barChart>
      <c:catAx>
        <c:axId val="4356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5376"/>
        <c:crosses val="autoZero"/>
        <c:auto val="1"/>
        <c:lblAlgn val="ctr"/>
        <c:lblOffset val="100"/>
        <c:noMultiLvlLbl val="0"/>
      </c:catAx>
      <c:valAx>
        <c:axId val="435615376"/>
        <c:scaling>
          <c:orientation val="minMax"/>
          <c:min val="0"/>
        </c:scaling>
        <c:delete val="0"/>
        <c:axPos val="l"/>
        <c:numFmt formatCode="0.00%"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441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b="1"/>
              <a:t>Combined Signal vs Market Analysis</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'NLP Project'!$B$22</c:f>
              <c:strCache>
                <c:ptCount val="1"/>
                <c:pt idx="0">
                  <c:v>Match 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'NLP Project'!$C$21:$D$21</c:f>
              <c:strCache>
                <c:ptCount val="2"/>
                <c:pt idx="0">
                  <c:v>Original</c:v>
                </c:pt>
                <c:pt idx="1">
                  <c:v>Updated</c:v>
                </c:pt>
              </c:strCache>
            </c:strRef>
          </c:cat>
          <c:val>
            <c:numRef>
              <c:f>'NLP Project'!$C$22:$D$22</c:f>
              <c:numCache>
                <c:formatCode>0.00%</c:formatCode>
                <c:ptCount val="2"/>
                <c:pt idx="0">
                  <c:v>0.44</c:v>
                </c:pt>
                <c:pt idx="1">
                  <c:v>0.50219999999999998</c:v>
                </c:pt>
              </c:numCache>
            </c:numRef>
          </c:val>
          <c:extLst>
            <c:ext xmlns:c16="http://schemas.microsoft.com/office/drawing/2014/chart" uri="{C3380CC4-5D6E-409C-BE32-E72D297353CC}">
              <c16:uniqueId val="{00000000-7E29-4346-ABEF-E1D85E6F441D}"/>
            </c:ext>
          </c:extLst>
        </c:ser>
        <c:ser>
          <c:idx val="1"/>
          <c:order val="1"/>
          <c:tx>
            <c:strRef>
              <c:f>'NLP Project'!$B$23</c:f>
              <c:strCache>
                <c:ptCount val="1"/>
                <c:pt idx="0">
                  <c:v>Mismatch Percentage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'NLP Project'!$C$21:$D$21</c:f>
              <c:strCache>
                <c:ptCount val="2"/>
                <c:pt idx="0">
                  <c:v>Original</c:v>
                </c:pt>
                <c:pt idx="1">
                  <c:v>Updated</c:v>
                </c:pt>
              </c:strCache>
            </c:strRef>
          </c:cat>
          <c:val>
            <c:numRef>
              <c:f>'NLP Project'!$C$23:$D$23</c:f>
              <c:numCache>
                <c:formatCode>0.00%</c:formatCode>
                <c:ptCount val="2"/>
                <c:pt idx="0">
                  <c:v>0.56000000000000005</c:v>
                </c:pt>
                <c:pt idx="1">
                  <c:v>0.49780000000000002</c:v>
                </c:pt>
              </c:numCache>
            </c:numRef>
          </c:val>
          <c:extLst>
            <c:ext xmlns:c16="http://schemas.microsoft.com/office/drawing/2014/chart" uri="{C3380CC4-5D6E-409C-BE32-E72D297353CC}">
              <c16:uniqueId val="{00000001-7E29-4346-ABEF-E1D85E6F441D}"/>
            </c:ext>
          </c:extLst>
        </c:ser>
        <c:dLbls>
          <c:showLegendKey val="0"/>
          <c:showVal val="0"/>
          <c:showCatName val="0"/>
          <c:showSerName val="0"/>
          <c:showPercent val="0"/>
          <c:showBubbleSize val="0"/>
        </c:dLbls>
        <c:gapWidth val="219"/>
        <c:overlap val="-27"/>
        <c:axId val="435614416"/>
        <c:axId val="435615376"/>
      </c:barChart>
      <c:catAx>
        <c:axId val="4356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5376"/>
        <c:crosses val="autoZero"/>
        <c:auto val="1"/>
        <c:lblAlgn val="ctr"/>
        <c:lblOffset val="100"/>
        <c:noMultiLvlLbl val="0"/>
      </c:catAx>
      <c:valAx>
        <c:axId val="435615376"/>
        <c:scaling>
          <c:orientation val="minMax"/>
        </c:scaling>
        <c:delete val="0"/>
        <c:axPos val="l"/>
        <c:numFmt formatCode="0.00%"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441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a:t>Earning + Theme Signal </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'NLP Project'!$C$34</c:f>
              <c:strCache>
                <c:ptCount val="1"/>
                <c:pt idx="0">
                  <c:v>Original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'NLP Project'!$B$35:$B$37</c:f>
              <c:strCache>
                <c:ptCount val="3"/>
                <c:pt idx="0">
                  <c:v>Strong Positive</c:v>
                </c:pt>
                <c:pt idx="1">
                  <c:v>Conflicting Positive</c:v>
                </c:pt>
                <c:pt idx="2">
                  <c:v>Strong Negative</c:v>
                </c:pt>
              </c:strCache>
            </c:strRef>
          </c:cat>
          <c:val>
            <c:numRef>
              <c:f>'NLP Project'!$C$35:$C$37</c:f>
              <c:numCache>
                <c:formatCode>0.00%</c:formatCode>
                <c:ptCount val="3"/>
                <c:pt idx="0">
                  <c:v>0.82499999999999996</c:v>
                </c:pt>
                <c:pt idx="1">
                  <c:v>0.15</c:v>
                </c:pt>
                <c:pt idx="2">
                  <c:v>2.5000000000000001E-2</c:v>
                </c:pt>
              </c:numCache>
            </c:numRef>
          </c:val>
          <c:extLst>
            <c:ext xmlns:c16="http://schemas.microsoft.com/office/drawing/2014/chart" uri="{C3380CC4-5D6E-409C-BE32-E72D297353CC}">
              <c16:uniqueId val="{00000000-37DA-4FC4-BD5D-D2B0DE61D54E}"/>
            </c:ext>
          </c:extLst>
        </c:ser>
        <c:ser>
          <c:idx val="1"/>
          <c:order val="1"/>
          <c:tx>
            <c:strRef>
              <c:f>'NLP Project'!$D$34</c:f>
              <c:strCache>
                <c:ptCount val="1"/>
                <c:pt idx="0">
                  <c:v>Updated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'NLP Project'!$B$35:$B$37</c:f>
              <c:strCache>
                <c:ptCount val="3"/>
                <c:pt idx="0">
                  <c:v>Strong Positive</c:v>
                </c:pt>
                <c:pt idx="1">
                  <c:v>Conflicting Positive</c:v>
                </c:pt>
                <c:pt idx="2">
                  <c:v>Strong Negative</c:v>
                </c:pt>
              </c:strCache>
            </c:strRef>
          </c:cat>
          <c:val>
            <c:numRef>
              <c:f>'NLP Project'!$D$35:$D$37</c:f>
              <c:numCache>
                <c:formatCode>0.00%</c:formatCode>
                <c:ptCount val="3"/>
                <c:pt idx="0">
                  <c:v>4.4299999999999999E-2</c:v>
                </c:pt>
                <c:pt idx="1">
                  <c:v>0.87339999999999995</c:v>
                </c:pt>
                <c:pt idx="2">
                  <c:v>8.2299999999999998E-2</c:v>
                </c:pt>
              </c:numCache>
            </c:numRef>
          </c:val>
          <c:extLst>
            <c:ext xmlns:c16="http://schemas.microsoft.com/office/drawing/2014/chart" uri="{C3380CC4-5D6E-409C-BE32-E72D297353CC}">
              <c16:uniqueId val="{00000001-37DA-4FC4-BD5D-D2B0DE61D54E}"/>
            </c:ext>
          </c:extLst>
        </c:ser>
        <c:dLbls>
          <c:showLegendKey val="0"/>
          <c:showVal val="0"/>
          <c:showCatName val="0"/>
          <c:showSerName val="0"/>
          <c:showPercent val="0"/>
          <c:showBubbleSize val="0"/>
        </c:dLbls>
        <c:gapWidth val="219"/>
        <c:overlap val="-27"/>
        <c:axId val="435614416"/>
        <c:axId val="435615376"/>
      </c:barChart>
      <c:catAx>
        <c:axId val="4356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5376"/>
        <c:crosses val="autoZero"/>
        <c:auto val="1"/>
        <c:lblAlgn val="ctr"/>
        <c:lblOffset val="100"/>
        <c:noMultiLvlLbl val="0"/>
      </c:catAx>
      <c:valAx>
        <c:axId val="435615376"/>
        <c:scaling>
          <c:orientation val="minMax"/>
        </c:scaling>
        <c:delete val="0"/>
        <c:axPos val="l"/>
        <c:numFmt formatCode="0.00%"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441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a:t>Earning + Theme Signal vs Market Analysis </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'NLP Project'!$D$49</c:f>
              <c:strCache>
                <c:ptCount val="1"/>
                <c:pt idx="0">
                  <c:v>Original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'NLP Project'!$B$50:$C$53</c:f>
              <c:multiLvlStrCache>
                <c:ptCount val="4"/>
                <c:lvl>
                  <c:pt idx="0">
                    <c:v>Match Percentage</c:v>
                  </c:pt>
                  <c:pt idx="1">
                    <c:v>Mismatch Percentage</c:v>
                  </c:pt>
                  <c:pt idx="2">
                    <c:v>Match Percentage</c:v>
                  </c:pt>
                  <c:pt idx="3">
                    <c:v>Mismatch Percentage</c:v>
                  </c:pt>
                </c:lvl>
                <c:lvl>
                  <c:pt idx="0">
                    <c:v>Stock</c:v>
                  </c:pt>
                  <c:pt idx="1">
                    <c:v>Stock</c:v>
                  </c:pt>
                  <c:pt idx="2">
                    <c:v>Market</c:v>
                  </c:pt>
                  <c:pt idx="3">
                    <c:v>Market</c:v>
                  </c:pt>
                </c:lvl>
              </c:multiLvlStrCache>
            </c:multiLvlStrRef>
          </c:cat>
          <c:val>
            <c:numRef>
              <c:f>'NLP Project'!$D$50:$D$53</c:f>
              <c:numCache>
                <c:formatCode>0.00%</c:formatCode>
                <c:ptCount val="4"/>
                <c:pt idx="0">
                  <c:v>0.68969999999999998</c:v>
                </c:pt>
                <c:pt idx="1">
                  <c:v>0.31030000000000002</c:v>
                </c:pt>
                <c:pt idx="2">
                  <c:v>0.51719999999999999</c:v>
                </c:pt>
                <c:pt idx="3">
                  <c:v>0.48280000000000001</c:v>
                </c:pt>
              </c:numCache>
            </c:numRef>
          </c:val>
          <c:extLst>
            <c:ext xmlns:c16="http://schemas.microsoft.com/office/drawing/2014/chart" uri="{C3380CC4-5D6E-409C-BE32-E72D297353CC}">
              <c16:uniqueId val="{00000003-7085-4771-8066-0A23D7413238}"/>
            </c:ext>
          </c:extLst>
        </c:ser>
        <c:ser>
          <c:idx val="1"/>
          <c:order val="1"/>
          <c:tx>
            <c:strRef>
              <c:f>'NLP Project'!$E$49</c:f>
              <c:strCache>
                <c:ptCount val="1"/>
                <c:pt idx="0">
                  <c:v>Updated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'NLP Project'!$B$50:$C$53</c:f>
              <c:multiLvlStrCache>
                <c:ptCount val="4"/>
                <c:lvl>
                  <c:pt idx="0">
                    <c:v>Match Percentage</c:v>
                  </c:pt>
                  <c:pt idx="1">
                    <c:v>Mismatch Percentage</c:v>
                  </c:pt>
                  <c:pt idx="2">
                    <c:v>Match Percentage</c:v>
                  </c:pt>
                  <c:pt idx="3">
                    <c:v>Mismatch Percentage</c:v>
                  </c:pt>
                </c:lvl>
                <c:lvl>
                  <c:pt idx="0">
                    <c:v>Stock</c:v>
                  </c:pt>
                  <c:pt idx="1">
                    <c:v>Stock</c:v>
                  </c:pt>
                  <c:pt idx="2">
                    <c:v>Market</c:v>
                  </c:pt>
                  <c:pt idx="3">
                    <c:v>Market</c:v>
                  </c:pt>
                </c:lvl>
              </c:multiLvlStrCache>
            </c:multiLvlStrRef>
          </c:cat>
          <c:val>
            <c:numRef>
              <c:f>'NLP Project'!$E$50:$E$53</c:f>
              <c:numCache>
                <c:formatCode>0.00%</c:formatCode>
                <c:ptCount val="4"/>
                <c:pt idx="0">
                  <c:v>0.72370000000000001</c:v>
                </c:pt>
                <c:pt idx="1">
                  <c:v>0.27629999999999999</c:v>
                </c:pt>
                <c:pt idx="2">
                  <c:v>0.59209999999999996</c:v>
                </c:pt>
                <c:pt idx="3">
                  <c:v>0.40789999999999998</c:v>
                </c:pt>
              </c:numCache>
            </c:numRef>
          </c:val>
          <c:extLst>
            <c:ext xmlns:c16="http://schemas.microsoft.com/office/drawing/2014/chart" uri="{C3380CC4-5D6E-409C-BE32-E72D297353CC}">
              <c16:uniqueId val="{00000005-7085-4771-8066-0A23D7413238}"/>
            </c:ext>
          </c:extLst>
        </c:ser>
        <c:dLbls>
          <c:showLegendKey val="0"/>
          <c:showVal val="0"/>
          <c:showCatName val="0"/>
          <c:showSerName val="0"/>
          <c:showPercent val="0"/>
          <c:showBubbleSize val="0"/>
        </c:dLbls>
        <c:gapWidth val="219"/>
        <c:overlap val="-27"/>
        <c:axId val="435614416"/>
        <c:axId val="435615376"/>
      </c:barChart>
      <c:catAx>
        <c:axId val="4356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5376"/>
        <c:crosses val="autoZero"/>
        <c:auto val="1"/>
        <c:lblAlgn val="ctr"/>
        <c:lblOffset val="100"/>
        <c:noMultiLvlLbl val="0"/>
      </c:catAx>
      <c:valAx>
        <c:axId val="435615376"/>
        <c:scaling>
          <c:orientation val="minMax"/>
          <c:min val="0.1"/>
        </c:scaling>
        <c:delete val="0"/>
        <c:axPos val="l"/>
        <c:numFmt formatCode="0.00%"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441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320040</xdr:colOff>
      <xdr:row>5</xdr:row>
      <xdr:rowOff>121920</xdr:rowOff>
    </xdr:from>
    <xdr:to>
      <xdr:col>13</xdr:col>
      <xdr:colOff>365760</xdr:colOff>
      <xdr:row>15</xdr:row>
      <xdr:rowOff>179070</xdr:rowOff>
    </xdr:to>
    <xdr:graphicFrame macro="">
      <xdr:nvGraphicFramePr>
        <xdr:cNvPr id="4" name="Chart 3">
          <a:extLst>
            <a:ext uri="{FF2B5EF4-FFF2-40B4-BE49-F238E27FC236}">
              <a16:creationId xmlns:a16="http://schemas.microsoft.com/office/drawing/2014/main" id="{E67132D8-76B8-49DE-A7D1-189B71C02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129540</xdr:colOff>
      <xdr:row>18</xdr:row>
      <xdr:rowOff>114300</xdr:rowOff>
    </xdr:from>
    <xdr:to>
      <xdr:col>15</xdr:col>
      <xdr:colOff>114300</xdr:colOff>
      <xdr:row>28</xdr:row>
      <xdr:rowOff>152400</xdr:rowOff>
    </xdr:to>
    <xdr:graphicFrame macro="">
      <xdr:nvGraphicFramePr>
        <xdr:cNvPr id="7" name="Chart 6">
          <a:extLst>
            <a:ext uri="{FF2B5EF4-FFF2-40B4-BE49-F238E27FC236}">
              <a16:creationId xmlns:a16="http://schemas.microsoft.com/office/drawing/2014/main" id="{4F84D199-7186-418E-B4FA-8FE0E9C6B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182880</xdr:colOff>
      <xdr:row>29</xdr:row>
      <xdr:rowOff>156210</xdr:rowOff>
    </xdr:from>
    <xdr:to>
      <xdr:col>17</xdr:col>
      <xdr:colOff>426720</xdr:colOff>
      <xdr:row>43</xdr:row>
      <xdr:rowOff>7620</xdr:rowOff>
    </xdr:to>
    <xdr:graphicFrame macro="">
      <xdr:nvGraphicFramePr>
        <xdr:cNvPr id="8" name="Chart 7">
          <a:extLst>
            <a:ext uri="{FF2B5EF4-FFF2-40B4-BE49-F238E27FC236}">
              <a16:creationId xmlns:a16="http://schemas.microsoft.com/office/drawing/2014/main" id="{121889C1-3889-874E-44EC-42DD26E38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312420</xdr:colOff>
      <xdr:row>44</xdr:row>
      <xdr:rowOff>91440</xdr:rowOff>
    </xdr:from>
    <xdr:to>
      <xdr:col>15</xdr:col>
      <xdr:colOff>579120</xdr:colOff>
      <xdr:row>59</xdr:row>
      <xdr:rowOff>60960</xdr:rowOff>
    </xdr:to>
    <xdr:graphicFrame macro="">
      <xdr:nvGraphicFramePr>
        <xdr:cNvPr id="10" name="Chart 9">
          <a:extLst>
            <a:ext uri="{FF2B5EF4-FFF2-40B4-BE49-F238E27FC236}">
              <a16:creationId xmlns:a16="http://schemas.microsoft.com/office/drawing/2014/main" id="{B71C3102-83AD-F1A1-7CE5-01FB460BB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15240</xdr:colOff>
      <xdr:row>5</xdr:row>
      <xdr:rowOff>53340</xdr:rowOff>
    </xdr:from>
    <xdr:to>
      <xdr:col>24</xdr:col>
      <xdr:colOff>335280</xdr:colOff>
      <xdr:row>15</xdr:row>
      <xdr:rowOff>104987</xdr:rowOff>
    </xdr:to>
    <xdr:sp macro="" textlink="">
      <xdr:nvSpPr>
        <xdr:cNvPr id="2" name="TextBox 1">
          <a:extLst>
            <a:ext uri="{FF2B5EF4-FFF2-40B4-BE49-F238E27FC236}">
              <a16:creationId xmlns:a16="http://schemas.microsoft.com/office/drawing/2014/main" id="{2B5FD773-63D4-4C6F-8072-A23CB64430ED}"/>
            </a:ext>
          </a:extLst>
        </xdr:cNvPr>
        <xdr:cNvSpPr txBox="1"/>
      </xdr:nvSpPr>
      <xdr:spPr>
        <a:xfrm>
          <a:off x="13411200" y="1059180"/>
          <a:ext cx="5196840" cy="1903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Visual</a:t>
          </a:r>
          <a:r>
            <a:rPr lang="en-IN" b="1" baseline="0"/>
            <a:t> </a:t>
          </a:r>
          <a:r>
            <a:rPr lang="en-IN" b="1"/>
            <a:t>Interpretation - </a:t>
          </a:r>
        </a:p>
        <a:p>
          <a:endParaRPr lang="en-IN"/>
        </a:p>
        <a:p>
          <a:r>
            <a:rPr lang="en-IN"/>
            <a:t>The visual shows that the regression error metrics remained very close after adding the new six months of data. Although both the MAE and RMSE increased slightly, the market volatility represented by the Nifty Standard Deviation also increased during the same period. This shows that the increase in prediction error remained proportional to the increase in market movement rather than indicating any significant deterioration in the performance of the regression model. Overall, the visual indicates that the regression model remained stable after the append process and continued to perform consistently on the new unseen data.</a:t>
          </a:r>
          <a:endParaRPr lang="en-IN" sz="1100"/>
        </a:p>
      </xdr:txBody>
    </xdr:sp>
    <xdr:clientData/>
  </xdr:twoCellAnchor>
  <xdr:twoCellAnchor>
    <xdr:from>
      <xdr:col>14</xdr:col>
      <xdr:colOff>60960</xdr:colOff>
      <xdr:row>8</xdr:row>
      <xdr:rowOff>167640</xdr:rowOff>
    </xdr:from>
    <xdr:to>
      <xdr:col>15</xdr:col>
      <xdr:colOff>182880</xdr:colOff>
      <xdr:row>11</xdr:row>
      <xdr:rowOff>71120</xdr:rowOff>
    </xdr:to>
    <xdr:sp macro="" textlink="">
      <xdr:nvSpPr>
        <xdr:cNvPr id="3" name="Arrow: Right 2">
          <a:extLst>
            <a:ext uri="{FF2B5EF4-FFF2-40B4-BE49-F238E27FC236}">
              <a16:creationId xmlns:a16="http://schemas.microsoft.com/office/drawing/2014/main" id="{35912C94-C42F-467B-AEEC-2F78E02C5337}"/>
            </a:ext>
          </a:extLst>
        </xdr:cNvPr>
        <xdr:cNvSpPr/>
      </xdr:nvSpPr>
      <xdr:spPr>
        <a:xfrm>
          <a:off x="12237720" y="1737360"/>
          <a:ext cx="731520" cy="4521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411480</xdr:colOff>
      <xdr:row>21</xdr:row>
      <xdr:rowOff>129540</xdr:rowOff>
    </xdr:from>
    <xdr:to>
      <xdr:col>16</xdr:col>
      <xdr:colOff>533400</xdr:colOff>
      <xdr:row>24</xdr:row>
      <xdr:rowOff>25400</xdr:rowOff>
    </xdr:to>
    <xdr:sp macro="" textlink="">
      <xdr:nvSpPr>
        <xdr:cNvPr id="5" name="Arrow: Right 4">
          <a:extLst>
            <a:ext uri="{FF2B5EF4-FFF2-40B4-BE49-F238E27FC236}">
              <a16:creationId xmlns:a16="http://schemas.microsoft.com/office/drawing/2014/main" id="{DFAD095B-7A80-401C-9994-BAB1032EAEE6}"/>
            </a:ext>
          </a:extLst>
        </xdr:cNvPr>
        <xdr:cNvSpPr/>
      </xdr:nvSpPr>
      <xdr:spPr>
        <a:xfrm>
          <a:off x="13197840" y="4099560"/>
          <a:ext cx="731520" cy="4521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297180</xdr:colOff>
      <xdr:row>17</xdr:row>
      <xdr:rowOff>106680</xdr:rowOff>
    </xdr:from>
    <xdr:to>
      <xdr:col>26</xdr:col>
      <xdr:colOff>7620</xdr:colOff>
      <xdr:row>27</xdr:row>
      <xdr:rowOff>158327</xdr:rowOff>
    </xdr:to>
    <xdr:sp macro="" textlink="">
      <xdr:nvSpPr>
        <xdr:cNvPr id="6" name="TextBox 5">
          <a:extLst>
            <a:ext uri="{FF2B5EF4-FFF2-40B4-BE49-F238E27FC236}">
              <a16:creationId xmlns:a16="http://schemas.microsoft.com/office/drawing/2014/main" id="{215A36F1-F362-4974-90A9-D8D139EBA365}"/>
            </a:ext>
          </a:extLst>
        </xdr:cNvPr>
        <xdr:cNvSpPr txBox="1"/>
      </xdr:nvSpPr>
      <xdr:spPr>
        <a:xfrm>
          <a:off x="14302740" y="3329940"/>
          <a:ext cx="5196840" cy="1903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Visual Interpretation -</a:t>
          </a:r>
        </a:p>
        <a:p>
          <a:endParaRPr lang="en-IN" b="1"/>
        </a:p>
        <a:p>
          <a:r>
            <a:rPr lang="en-IN"/>
            <a:t>The visual shows that the classification performance remained very close after adding the new six months of data. The Accuracy and Precision remained almost unchanged, while the Recall decreased slightly after the append process. Even with the larger test dataset, the overall classification performance remained highly consistent, showing that the reusable classification model continued to perform effectively on the new unseen observations. Overall, the visual indicates that the classification model remained stable after the append process, and the original classification conclusions continued to remain valid.</a:t>
          </a:r>
        </a:p>
      </xdr:txBody>
    </xdr:sp>
    <xdr:clientData/>
  </xdr:twoCellAnchor>
  <xdr:twoCellAnchor>
    <xdr:from>
      <xdr:col>18</xdr:col>
      <xdr:colOff>101600</xdr:colOff>
      <xdr:row>33</xdr:row>
      <xdr:rowOff>135466</xdr:rowOff>
    </xdr:from>
    <xdr:to>
      <xdr:col>19</xdr:col>
      <xdr:colOff>223520</xdr:colOff>
      <xdr:row>36</xdr:row>
      <xdr:rowOff>39793</xdr:rowOff>
    </xdr:to>
    <xdr:sp macro="" textlink="">
      <xdr:nvSpPr>
        <xdr:cNvPr id="9" name="Arrow: Right 8">
          <a:extLst>
            <a:ext uri="{FF2B5EF4-FFF2-40B4-BE49-F238E27FC236}">
              <a16:creationId xmlns:a16="http://schemas.microsoft.com/office/drawing/2014/main" id="{0A764CC0-CB57-4991-9C31-D041D6C70D88}"/>
            </a:ext>
          </a:extLst>
        </xdr:cNvPr>
        <xdr:cNvSpPr/>
      </xdr:nvSpPr>
      <xdr:spPr>
        <a:xfrm>
          <a:off x="14723533" y="6434666"/>
          <a:ext cx="731520" cy="46312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16934</xdr:colOff>
      <xdr:row>30</xdr:row>
      <xdr:rowOff>93133</xdr:rowOff>
    </xdr:from>
    <xdr:to>
      <xdr:col>28</xdr:col>
      <xdr:colOff>336974</xdr:colOff>
      <xdr:row>40</xdr:row>
      <xdr:rowOff>136314</xdr:rowOff>
    </xdr:to>
    <xdr:sp macro="" textlink="">
      <xdr:nvSpPr>
        <xdr:cNvPr id="11" name="TextBox 10">
          <a:extLst>
            <a:ext uri="{FF2B5EF4-FFF2-40B4-BE49-F238E27FC236}">
              <a16:creationId xmlns:a16="http://schemas.microsoft.com/office/drawing/2014/main" id="{36B71AF7-5F5F-4B76-9D76-3773C19BF7F7}"/>
            </a:ext>
          </a:extLst>
        </xdr:cNvPr>
        <xdr:cNvSpPr txBox="1"/>
      </xdr:nvSpPr>
      <xdr:spPr>
        <a:xfrm>
          <a:off x="15858067" y="5816600"/>
          <a:ext cx="5196840" cy="19397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Visual Interpretation -</a:t>
          </a:r>
        </a:p>
        <a:p>
          <a:endParaRPr lang="en-IN" b="1"/>
        </a:p>
        <a:p>
          <a:r>
            <a:rPr lang="en-IN"/>
            <a:t>The visual shows that the percentage distribution of the confusion matrix remained very close after adding the new six months of data. The True Positives and True Negatives changed only slightly, while the False Positives and False Negatives also remained at almost the same level. This shows that the increase in the test dataset did not significantly change the overall classification behaviour of the model. Overall, the visual indicates that the reusable classification model continued to maintain a stable balance between correct and incorrect predictions, and the original classification behaviour remained consistent after the append process.</a:t>
          </a:r>
        </a:p>
      </xdr:txBody>
    </xdr:sp>
    <xdr:clientData/>
  </xdr:twoCellAnchor>
  <xdr:twoCellAnchor>
    <xdr:from>
      <xdr:col>16</xdr:col>
      <xdr:colOff>106680</xdr:colOff>
      <xdr:row>49</xdr:row>
      <xdr:rowOff>83820</xdr:rowOff>
    </xdr:from>
    <xdr:to>
      <xdr:col>17</xdr:col>
      <xdr:colOff>228600</xdr:colOff>
      <xdr:row>51</xdr:row>
      <xdr:rowOff>171027</xdr:rowOff>
    </xdr:to>
    <xdr:sp macro="" textlink="">
      <xdr:nvSpPr>
        <xdr:cNvPr id="12" name="Arrow: Right 11">
          <a:extLst>
            <a:ext uri="{FF2B5EF4-FFF2-40B4-BE49-F238E27FC236}">
              <a16:creationId xmlns:a16="http://schemas.microsoft.com/office/drawing/2014/main" id="{259F4025-ED7F-4395-8AA3-A9E609C19D39}"/>
            </a:ext>
          </a:extLst>
        </xdr:cNvPr>
        <xdr:cNvSpPr/>
      </xdr:nvSpPr>
      <xdr:spPr>
        <a:xfrm>
          <a:off x="13502640" y="9227820"/>
          <a:ext cx="731520" cy="45296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53340</xdr:colOff>
      <xdr:row>44</xdr:row>
      <xdr:rowOff>121920</xdr:rowOff>
    </xdr:from>
    <xdr:to>
      <xdr:col>26</xdr:col>
      <xdr:colOff>373380</xdr:colOff>
      <xdr:row>56</xdr:row>
      <xdr:rowOff>121920</xdr:rowOff>
    </xdr:to>
    <xdr:sp macro="" textlink="">
      <xdr:nvSpPr>
        <xdr:cNvPr id="13" name="TextBox 12">
          <a:extLst>
            <a:ext uri="{FF2B5EF4-FFF2-40B4-BE49-F238E27FC236}">
              <a16:creationId xmlns:a16="http://schemas.microsoft.com/office/drawing/2014/main" id="{C94ED7B1-0969-4C2F-AA3D-67BC0FFDDEC8}"/>
            </a:ext>
          </a:extLst>
        </xdr:cNvPr>
        <xdr:cNvSpPr txBox="1"/>
      </xdr:nvSpPr>
      <xdr:spPr>
        <a:xfrm>
          <a:off x="14668500" y="8336280"/>
          <a:ext cx="5196840" cy="220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Visual Interpretation -</a:t>
          </a:r>
        </a:p>
        <a:p>
          <a:endParaRPr lang="en-IN" b="1"/>
        </a:p>
        <a:p>
          <a:r>
            <a:rPr lang="en-IN"/>
            <a:t>The visual shows that all four classification models remained very close in their overall performance after adding the new six months of data. The changes in Accuracy, Precision and Recall were generally small across all the models, showing that the reusable classification system continued to perform consistently on the larger unseen dataset. The comparison also shows that the overall performance differences between the models remained very small, making it difficult to distinguish one model as significantly better than the others based only on these evaluation metrics. Overall, the visual indicates that all four models remained stable after the append process, and a more detailed comparison through the Reliability Analysis becomes necessary to identify the most suitable model.</a:t>
          </a:r>
        </a:p>
      </xdr:txBody>
    </xdr:sp>
    <xdr:clientData/>
  </xdr:twoCellAnchor>
  <xdr:twoCellAnchor>
    <xdr:from>
      <xdr:col>8</xdr:col>
      <xdr:colOff>457200</xdr:colOff>
      <xdr:row>70</xdr:row>
      <xdr:rowOff>7620</xdr:rowOff>
    </xdr:from>
    <xdr:to>
      <xdr:col>9</xdr:col>
      <xdr:colOff>579120</xdr:colOff>
      <xdr:row>72</xdr:row>
      <xdr:rowOff>94827</xdr:rowOff>
    </xdr:to>
    <xdr:sp macro="" textlink="">
      <xdr:nvSpPr>
        <xdr:cNvPr id="14" name="Arrow: Right 13">
          <a:extLst>
            <a:ext uri="{FF2B5EF4-FFF2-40B4-BE49-F238E27FC236}">
              <a16:creationId xmlns:a16="http://schemas.microsoft.com/office/drawing/2014/main" id="{F8C6E36E-BA06-48D0-9E6B-9A191CCA7B6A}"/>
            </a:ext>
          </a:extLst>
        </xdr:cNvPr>
        <xdr:cNvSpPr/>
      </xdr:nvSpPr>
      <xdr:spPr>
        <a:xfrm>
          <a:off x="8976360" y="13014960"/>
          <a:ext cx="731520" cy="45296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403860</xdr:colOff>
      <xdr:row>64</xdr:row>
      <xdr:rowOff>99060</xdr:rowOff>
    </xdr:from>
    <xdr:to>
      <xdr:col>19</xdr:col>
      <xdr:colOff>114300</xdr:colOff>
      <xdr:row>78</xdr:row>
      <xdr:rowOff>99060</xdr:rowOff>
    </xdr:to>
    <xdr:sp macro="" textlink="">
      <xdr:nvSpPr>
        <xdr:cNvPr id="15" name="TextBox 14">
          <a:extLst>
            <a:ext uri="{FF2B5EF4-FFF2-40B4-BE49-F238E27FC236}">
              <a16:creationId xmlns:a16="http://schemas.microsoft.com/office/drawing/2014/main" id="{2AD094F9-D60F-49F2-9114-BB40AA04207B}"/>
            </a:ext>
          </a:extLst>
        </xdr:cNvPr>
        <xdr:cNvSpPr txBox="1"/>
      </xdr:nvSpPr>
      <xdr:spPr>
        <a:xfrm>
          <a:off x="10142220" y="12009120"/>
          <a:ext cx="5196840" cy="2560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Table Interpretation -</a:t>
          </a:r>
        </a:p>
        <a:p>
          <a:endParaRPr lang="en-IN" b="1"/>
        </a:p>
        <a:p>
          <a:r>
            <a:rPr lang="en-IN"/>
            <a:t>The table shows how the confidence of each machine learning model changed after moving from the training data to the larger unseen test dataset. Although all four models remained stable in terms of their overall evaluation metrics, the Reliability Analysis shows clear differences in how their confidence transferred to the new data. The Logistic model behaved differently from the other models, as most of its confidence shifted towards the </a:t>
          </a:r>
          <a:r>
            <a:rPr lang="en-IN" b="1"/>
            <a:t>Low Confidence Correct</a:t>
          </a:r>
          <a:r>
            <a:rPr lang="en-IN"/>
            <a:t> category rather than the wrong prediction categories. In comparison, the Tree, Controlled Ensemble, and Unrestricted Ensemble models transferred a larger proportion of their confidence towards the wrong prediction categories after the append process. Overall, the table indicates that while all four models remained reusable after adding the new data, the Logistic model demonstrated the most stable and reliable confidence behaviour, making it the strongest choice for long-term performance on unseen observations.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226060</xdr:colOff>
      <xdr:row>5</xdr:row>
      <xdr:rowOff>116840</xdr:rowOff>
    </xdr:from>
    <xdr:to>
      <xdr:col>12</xdr:col>
      <xdr:colOff>302260</xdr:colOff>
      <xdr:row>16</xdr:row>
      <xdr:rowOff>63500</xdr:rowOff>
    </xdr:to>
    <xdr:graphicFrame macro="">
      <xdr:nvGraphicFramePr>
        <xdr:cNvPr id="10" name="Chart 9">
          <a:extLst>
            <a:ext uri="{FF2B5EF4-FFF2-40B4-BE49-F238E27FC236}">
              <a16:creationId xmlns:a16="http://schemas.microsoft.com/office/drawing/2014/main" id="{D149D5A0-94FE-4162-89BE-0BBF0F1AA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266700</xdr:colOff>
      <xdr:row>17</xdr:row>
      <xdr:rowOff>160020</xdr:rowOff>
    </xdr:from>
    <xdr:to>
      <xdr:col>13</xdr:col>
      <xdr:colOff>342900</xdr:colOff>
      <xdr:row>30</xdr:row>
      <xdr:rowOff>22860</xdr:rowOff>
    </xdr:to>
    <xdr:graphicFrame macro="">
      <xdr:nvGraphicFramePr>
        <xdr:cNvPr id="13" name="Chart 12">
          <a:extLst>
            <a:ext uri="{FF2B5EF4-FFF2-40B4-BE49-F238E27FC236}">
              <a16:creationId xmlns:a16="http://schemas.microsoft.com/office/drawing/2014/main" id="{5832EF11-A43D-4CAB-B126-603B5E685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358140</xdr:colOff>
      <xdr:row>31</xdr:row>
      <xdr:rowOff>7620</xdr:rowOff>
    </xdr:from>
    <xdr:to>
      <xdr:col>13</xdr:col>
      <xdr:colOff>335280</xdr:colOff>
      <xdr:row>44</xdr:row>
      <xdr:rowOff>95250</xdr:rowOff>
    </xdr:to>
    <xdr:graphicFrame macro="">
      <xdr:nvGraphicFramePr>
        <xdr:cNvPr id="15" name="Chart 14">
          <a:extLst>
            <a:ext uri="{FF2B5EF4-FFF2-40B4-BE49-F238E27FC236}">
              <a16:creationId xmlns:a16="http://schemas.microsoft.com/office/drawing/2014/main" id="{8E331AD8-85DC-47A4-BC28-2E692D7BB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198120</xdr:colOff>
      <xdr:row>45</xdr:row>
      <xdr:rowOff>57150</xdr:rowOff>
    </xdr:from>
    <xdr:to>
      <xdr:col>15</xdr:col>
      <xdr:colOff>510540</xdr:colOff>
      <xdr:row>60</xdr:row>
      <xdr:rowOff>30480</xdr:rowOff>
    </xdr:to>
    <xdr:graphicFrame macro="">
      <xdr:nvGraphicFramePr>
        <xdr:cNvPr id="16" name="Chart 15">
          <a:extLst>
            <a:ext uri="{FF2B5EF4-FFF2-40B4-BE49-F238E27FC236}">
              <a16:creationId xmlns:a16="http://schemas.microsoft.com/office/drawing/2014/main" id="{B6DAFC0A-4893-1D1B-5835-D48A5B523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9</xdr:row>
      <xdr:rowOff>0</xdr:rowOff>
    </xdr:from>
    <xdr:to>
      <xdr:col>15</xdr:col>
      <xdr:colOff>121920</xdr:colOff>
      <xdr:row>11</xdr:row>
      <xdr:rowOff>79586</xdr:rowOff>
    </xdr:to>
    <xdr:sp macro="" textlink="">
      <xdr:nvSpPr>
        <xdr:cNvPr id="4" name="Arrow: Right 3">
          <a:extLst>
            <a:ext uri="{FF2B5EF4-FFF2-40B4-BE49-F238E27FC236}">
              <a16:creationId xmlns:a16="http://schemas.microsoft.com/office/drawing/2014/main" id="{64BF012A-79E6-48F8-86FA-62C1A8817AD5}"/>
            </a:ext>
          </a:extLst>
        </xdr:cNvPr>
        <xdr:cNvSpPr/>
      </xdr:nvSpPr>
      <xdr:spPr>
        <a:xfrm>
          <a:off x="9990667" y="1693333"/>
          <a:ext cx="731520" cy="4521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465667</xdr:colOff>
      <xdr:row>5</xdr:row>
      <xdr:rowOff>110067</xdr:rowOff>
    </xdr:from>
    <xdr:to>
      <xdr:col>23</xdr:col>
      <xdr:colOff>423333</xdr:colOff>
      <xdr:row>15</xdr:row>
      <xdr:rowOff>125307</xdr:rowOff>
    </xdr:to>
    <xdr:sp macro="" textlink="">
      <xdr:nvSpPr>
        <xdr:cNvPr id="5" name="TextBox 4">
          <a:extLst>
            <a:ext uri="{FF2B5EF4-FFF2-40B4-BE49-F238E27FC236}">
              <a16:creationId xmlns:a16="http://schemas.microsoft.com/office/drawing/2014/main" id="{F4269A7F-0825-4559-B151-543D856BD355}"/>
            </a:ext>
          </a:extLst>
        </xdr:cNvPr>
        <xdr:cNvSpPr txBox="1"/>
      </xdr:nvSpPr>
      <xdr:spPr>
        <a:xfrm>
          <a:off x="11065934" y="1041400"/>
          <a:ext cx="4834466" cy="1903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Visual</a:t>
          </a:r>
          <a:r>
            <a:rPr lang="en-IN" b="1" baseline="0"/>
            <a:t> </a:t>
          </a:r>
          <a:r>
            <a:rPr lang="en-IN" b="1"/>
            <a:t>Interpretation - </a:t>
          </a:r>
        </a:p>
        <a:p>
          <a:endParaRPr lang="en-IN"/>
        </a:p>
        <a:p>
          <a:r>
            <a:rPr lang="en-IN"/>
            <a:t>The visual shows that the Sentiment signal remained almost unchanged after adding the new six months of data. The Match Percentage increased only slightly from </a:t>
          </a:r>
          <a:r>
            <a:rPr lang="en-IN" b="1"/>
            <a:t>50.34%</a:t>
          </a:r>
          <a:r>
            <a:rPr lang="en-IN"/>
            <a:t> to </a:t>
          </a:r>
          <a:r>
            <a:rPr lang="en-IN" b="1"/>
            <a:t>50.75%</a:t>
          </a:r>
          <a:r>
            <a:rPr lang="en-IN"/>
            <a:t>, while the Failure Percentage reduced marginally from </a:t>
          </a:r>
          <a:r>
            <a:rPr lang="en-IN" b="1"/>
            <a:t>49.66%</a:t>
          </a:r>
          <a:r>
            <a:rPr lang="en-IN"/>
            <a:t> to </a:t>
          </a:r>
          <a:r>
            <a:rPr lang="en-IN" b="1"/>
            <a:t>49.25%</a:t>
          </a:r>
          <a:r>
            <a:rPr lang="en-IN"/>
            <a:t>. This shows that even after adding a much larger number of news observations, the overall behaviour of the Sentiment signal remained almost the same. Overall, the visual indicates that simply adding more news data did not strengthen the Sentiment signal, and the original conclusion of the NLP Project remained unchanged.</a:t>
          </a:r>
          <a:endParaRPr lang="en-IN" sz="1100"/>
        </a:p>
      </xdr:txBody>
    </xdr:sp>
    <xdr:clientData/>
  </xdr:twoCellAnchor>
  <xdr:twoCellAnchor>
    <xdr:from>
      <xdr:col>14</xdr:col>
      <xdr:colOff>0</xdr:colOff>
      <xdr:row>22</xdr:row>
      <xdr:rowOff>0</xdr:rowOff>
    </xdr:from>
    <xdr:to>
      <xdr:col>15</xdr:col>
      <xdr:colOff>121920</xdr:colOff>
      <xdr:row>24</xdr:row>
      <xdr:rowOff>71120</xdr:rowOff>
    </xdr:to>
    <xdr:sp macro="" textlink="">
      <xdr:nvSpPr>
        <xdr:cNvPr id="6" name="Arrow: Right 5">
          <a:extLst>
            <a:ext uri="{FF2B5EF4-FFF2-40B4-BE49-F238E27FC236}">
              <a16:creationId xmlns:a16="http://schemas.microsoft.com/office/drawing/2014/main" id="{5FD7EA45-55D4-4CCD-A01B-BCC410023D11}"/>
            </a:ext>
          </a:extLst>
        </xdr:cNvPr>
        <xdr:cNvSpPr/>
      </xdr:nvSpPr>
      <xdr:spPr>
        <a:xfrm>
          <a:off x="9990667" y="4140200"/>
          <a:ext cx="731520" cy="4521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474133</xdr:colOff>
      <xdr:row>18</xdr:row>
      <xdr:rowOff>42334</xdr:rowOff>
    </xdr:from>
    <xdr:to>
      <xdr:col>23</xdr:col>
      <xdr:colOff>431799</xdr:colOff>
      <xdr:row>28</xdr:row>
      <xdr:rowOff>57574</xdr:rowOff>
    </xdr:to>
    <xdr:sp macro="" textlink="">
      <xdr:nvSpPr>
        <xdr:cNvPr id="7" name="TextBox 6">
          <a:extLst>
            <a:ext uri="{FF2B5EF4-FFF2-40B4-BE49-F238E27FC236}">
              <a16:creationId xmlns:a16="http://schemas.microsoft.com/office/drawing/2014/main" id="{9E358B06-BABE-4A67-AA8B-4352C591CD02}"/>
            </a:ext>
          </a:extLst>
        </xdr:cNvPr>
        <xdr:cNvSpPr txBox="1"/>
      </xdr:nvSpPr>
      <xdr:spPr>
        <a:xfrm>
          <a:off x="11074400" y="3420534"/>
          <a:ext cx="4834466" cy="1903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Visual</a:t>
          </a:r>
          <a:r>
            <a:rPr lang="en-IN" b="1" baseline="0"/>
            <a:t> </a:t>
          </a:r>
          <a:r>
            <a:rPr lang="en-IN" b="1"/>
            <a:t>Interpretation - </a:t>
          </a:r>
        </a:p>
        <a:p>
          <a:endParaRPr lang="en-IN"/>
        </a:p>
        <a:p>
          <a:r>
            <a:rPr lang="en-IN"/>
            <a:t>The visual shows that the Combined Signal improved slightly after adding the new six months of data. The Match Percentage increased from </a:t>
          </a:r>
          <a:r>
            <a:rPr lang="en-IN" b="1"/>
            <a:t>44.00%</a:t>
          </a:r>
          <a:r>
            <a:rPr lang="en-IN"/>
            <a:t> to </a:t>
          </a:r>
          <a:r>
            <a:rPr lang="en-IN" b="1"/>
            <a:t>50.22%</a:t>
          </a:r>
          <a:r>
            <a:rPr lang="en-IN"/>
            <a:t>, while the Mismatch Percentage reduced from </a:t>
          </a:r>
          <a:r>
            <a:rPr lang="en-IN" b="1"/>
            <a:t>56.00%</a:t>
          </a:r>
          <a:r>
            <a:rPr lang="en-IN"/>
            <a:t> to </a:t>
          </a:r>
          <a:r>
            <a:rPr lang="en-IN" b="1"/>
            <a:t>49.78%</a:t>
          </a:r>
          <a:r>
            <a:rPr lang="en-IN"/>
            <a:t>. This shows that the combined signal became slightly better after the append process, but the improvement was not large enough to change the overall understanding of the results. Overall, the visual indicates that combining the Sentiment, Entity and Theme signals did not produce a significantly stronger market signal, and the original conclusion of the NLP Project remained the same.</a:t>
          </a:r>
        </a:p>
      </xdr:txBody>
    </xdr:sp>
    <xdr:clientData/>
  </xdr:twoCellAnchor>
  <xdr:twoCellAnchor>
    <xdr:from>
      <xdr:col>14</xdr:col>
      <xdr:colOff>0</xdr:colOff>
      <xdr:row>35</xdr:row>
      <xdr:rowOff>110067</xdr:rowOff>
    </xdr:from>
    <xdr:to>
      <xdr:col>15</xdr:col>
      <xdr:colOff>121920</xdr:colOff>
      <xdr:row>37</xdr:row>
      <xdr:rowOff>181187</xdr:rowOff>
    </xdr:to>
    <xdr:sp macro="" textlink="">
      <xdr:nvSpPr>
        <xdr:cNvPr id="8" name="Arrow: Right 7">
          <a:extLst>
            <a:ext uri="{FF2B5EF4-FFF2-40B4-BE49-F238E27FC236}">
              <a16:creationId xmlns:a16="http://schemas.microsoft.com/office/drawing/2014/main" id="{C2C78B79-8832-4C11-9899-5C301CB81F93}"/>
            </a:ext>
          </a:extLst>
        </xdr:cNvPr>
        <xdr:cNvSpPr/>
      </xdr:nvSpPr>
      <xdr:spPr>
        <a:xfrm>
          <a:off x="9990667" y="6697134"/>
          <a:ext cx="731520" cy="4521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474134</xdr:colOff>
      <xdr:row>31</xdr:row>
      <xdr:rowOff>143933</xdr:rowOff>
    </xdr:from>
    <xdr:to>
      <xdr:col>23</xdr:col>
      <xdr:colOff>431800</xdr:colOff>
      <xdr:row>43</xdr:row>
      <xdr:rowOff>42333</xdr:rowOff>
    </xdr:to>
    <xdr:sp macro="" textlink="">
      <xdr:nvSpPr>
        <xdr:cNvPr id="9" name="TextBox 8">
          <a:extLst>
            <a:ext uri="{FF2B5EF4-FFF2-40B4-BE49-F238E27FC236}">
              <a16:creationId xmlns:a16="http://schemas.microsoft.com/office/drawing/2014/main" id="{62C5B6AC-A390-4466-9C86-4C9E40EF5A6A}"/>
            </a:ext>
          </a:extLst>
        </xdr:cNvPr>
        <xdr:cNvSpPr txBox="1"/>
      </xdr:nvSpPr>
      <xdr:spPr>
        <a:xfrm>
          <a:off x="11074401" y="5969000"/>
          <a:ext cx="4834466" cy="2159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Visual</a:t>
          </a:r>
          <a:r>
            <a:rPr lang="en-IN" b="1" baseline="0"/>
            <a:t> </a:t>
          </a:r>
          <a:r>
            <a:rPr lang="en-IN" b="1"/>
            <a:t>Interpretation - </a:t>
          </a:r>
        </a:p>
        <a:p>
          <a:endParaRPr lang="en-IN"/>
        </a:p>
        <a:p>
          <a:r>
            <a:rPr lang="en-IN"/>
            <a:t>The visual shows that the distribution of the Earnings and Theme combined signal changed significantly after adding the new six months of data. The Strong Positive signals reduced sharply, while the Conflicting Positive signals became the dominant category after the append process. This shows that the relationship between company earnings and broader market themes changed considerably with the addition of the new data, leading to a much higher proportion of conflicting signals. Overall, the visual indicates that the updated analysis further strengthened the understanding that company earnings and market themes represent different perspectives, and they should not be expected to move together consistently.</a:t>
          </a:r>
        </a:p>
      </xdr:txBody>
    </xdr:sp>
    <xdr:clientData/>
  </xdr:twoCellAnchor>
  <xdr:twoCellAnchor>
    <xdr:from>
      <xdr:col>16</xdr:col>
      <xdr:colOff>237067</xdr:colOff>
      <xdr:row>50</xdr:row>
      <xdr:rowOff>67733</xdr:rowOff>
    </xdr:from>
    <xdr:to>
      <xdr:col>17</xdr:col>
      <xdr:colOff>358987</xdr:colOff>
      <xdr:row>52</xdr:row>
      <xdr:rowOff>147320</xdr:rowOff>
    </xdr:to>
    <xdr:sp macro="" textlink="">
      <xdr:nvSpPr>
        <xdr:cNvPr id="11" name="Arrow: Right 10">
          <a:extLst>
            <a:ext uri="{FF2B5EF4-FFF2-40B4-BE49-F238E27FC236}">
              <a16:creationId xmlns:a16="http://schemas.microsoft.com/office/drawing/2014/main" id="{7B942507-BC1B-4444-8738-CECA5F2A9CF7}"/>
            </a:ext>
          </a:extLst>
        </xdr:cNvPr>
        <xdr:cNvSpPr/>
      </xdr:nvSpPr>
      <xdr:spPr>
        <a:xfrm>
          <a:off x="11446934" y="9474200"/>
          <a:ext cx="731520" cy="4521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118533</xdr:colOff>
      <xdr:row>46</xdr:row>
      <xdr:rowOff>84666</xdr:rowOff>
    </xdr:from>
    <xdr:to>
      <xdr:col>26</xdr:col>
      <xdr:colOff>76199</xdr:colOff>
      <xdr:row>57</xdr:row>
      <xdr:rowOff>169333</xdr:rowOff>
    </xdr:to>
    <xdr:sp macro="" textlink="">
      <xdr:nvSpPr>
        <xdr:cNvPr id="12" name="TextBox 11">
          <a:extLst>
            <a:ext uri="{FF2B5EF4-FFF2-40B4-BE49-F238E27FC236}">
              <a16:creationId xmlns:a16="http://schemas.microsoft.com/office/drawing/2014/main" id="{DDC6F6E1-8354-4623-8562-96AD45BCB4C6}"/>
            </a:ext>
          </a:extLst>
        </xdr:cNvPr>
        <xdr:cNvSpPr txBox="1"/>
      </xdr:nvSpPr>
      <xdr:spPr>
        <a:xfrm>
          <a:off x="12547600" y="8729133"/>
          <a:ext cx="4834466" cy="2159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Visual</a:t>
          </a:r>
          <a:r>
            <a:rPr lang="en-IN" b="1" baseline="0"/>
            <a:t> </a:t>
          </a:r>
          <a:r>
            <a:rPr lang="en-IN" b="1"/>
            <a:t>Interpretation - </a:t>
          </a:r>
        </a:p>
        <a:p>
          <a:endParaRPr lang="en-IN"/>
        </a:p>
        <a:p>
          <a:r>
            <a:rPr lang="en-IN"/>
            <a:t>The visual shows that the Earnings and Theme combined signal improved after adding the new six months of data for both the Stock and Market analysis. The Match Percentage increased, while the Mismatch Percentage reduced for both, with the Stock analysis continuing to show a much stronger relationship than the Market analysis. This shows that the combined signal remained more effective in explaining individual company behaviour than the overall market behaviour, even after the append process. Overall, the visual indicates that the updated results further strengthened the original conclusion that combining Earnings and Theme signals is more useful for understanding company-level behaviour than explaining the broader market movement.</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N80"/>
  <sheetViews>
    <sheetView showGridLines="0" tabSelected="1" topLeftCell="A20" zoomScale="50" zoomScaleNormal="50" workbookViewId="0">
      <selection activeCell="H54" sqref="H54"/>
    </sheetView>
  </sheetViews>
  <sheetFormatPr defaultRowHeight="14.4" x14ac:dyDescent="0.3"/>
  <cols>
    <col min="1" max="1" width="1.88671875" customWidth="1"/>
    <col min="2" max="2" width="41.109375" bestFit="1" customWidth="1"/>
    <col min="3" max="3" width="23.109375" bestFit="1" customWidth="1"/>
    <col min="4" max="4" width="12.5546875" customWidth="1"/>
    <col min="5" max="5" width="12.6640625" customWidth="1"/>
    <col min="6" max="6" width="11.5546875" bestFit="1" customWidth="1"/>
    <col min="7" max="7" width="12.44140625" bestFit="1" customWidth="1"/>
  </cols>
  <sheetData>
    <row r="2" spans="1:14" ht="18" customHeight="1" x14ac:dyDescent="0.3">
      <c r="B2" s="35" t="s">
        <v>0</v>
      </c>
      <c r="C2" s="35"/>
      <c r="D2" s="35"/>
      <c r="E2" s="35"/>
      <c r="F2" s="35"/>
      <c r="G2" s="35"/>
      <c r="H2" s="35"/>
      <c r="I2" s="35"/>
      <c r="J2" s="35"/>
      <c r="K2" s="35"/>
      <c r="L2" s="35"/>
      <c r="M2" s="35"/>
      <c r="N2" s="35"/>
    </row>
    <row r="3" spans="1:14" ht="18" customHeight="1" x14ac:dyDescent="0.3">
      <c r="B3" s="35"/>
      <c r="C3" s="35"/>
      <c r="D3" s="35"/>
      <c r="E3" s="35"/>
      <c r="F3" s="35"/>
      <c r="G3" s="35"/>
      <c r="H3" s="35"/>
      <c r="I3" s="35"/>
      <c r="J3" s="35"/>
      <c r="K3" s="35"/>
      <c r="L3" s="35"/>
      <c r="M3" s="35"/>
      <c r="N3" s="35"/>
    </row>
    <row r="5" spans="1:14" x14ac:dyDescent="0.3">
      <c r="A5" t="s">
        <v>1</v>
      </c>
      <c r="B5" s="1" t="s">
        <v>12</v>
      </c>
      <c r="C5" s="1"/>
      <c r="D5" s="1"/>
      <c r="E5" s="1"/>
      <c r="F5" s="1"/>
      <c r="G5" s="1"/>
      <c r="H5" s="1"/>
    </row>
    <row r="6" spans="1:14" x14ac:dyDescent="0.3">
      <c r="B6" s="11" t="s">
        <v>22</v>
      </c>
      <c r="C6" s="11"/>
    </row>
    <row r="7" spans="1:14" ht="15" thickBot="1" x14ac:dyDescent="0.35"/>
    <row r="8" spans="1:14" ht="15" thickBot="1" x14ac:dyDescent="0.35">
      <c r="B8" s="7" t="s">
        <v>2</v>
      </c>
      <c r="C8" s="8" t="s">
        <v>3</v>
      </c>
      <c r="D8" s="9" t="s">
        <v>4</v>
      </c>
      <c r="E8" s="10" t="s">
        <v>5</v>
      </c>
    </row>
    <row r="9" spans="1:14" x14ac:dyDescent="0.3">
      <c r="B9" s="5" t="s">
        <v>6</v>
      </c>
      <c r="C9" s="5" t="s">
        <v>7</v>
      </c>
      <c r="D9" s="5">
        <v>2.5600000000000002E-3</v>
      </c>
      <c r="E9" s="3">
        <v>2.6970000000000002E-3</v>
      </c>
    </row>
    <row r="10" spans="1:14" x14ac:dyDescent="0.3">
      <c r="B10" s="5" t="s">
        <v>6</v>
      </c>
      <c r="C10" s="5" t="s">
        <v>8</v>
      </c>
      <c r="D10" s="5">
        <v>3.4199999999999999E-3</v>
      </c>
      <c r="E10" s="3">
        <v>3.5799999999999998E-3</v>
      </c>
    </row>
    <row r="11" spans="1:14" x14ac:dyDescent="0.3">
      <c r="B11" s="5" t="s">
        <v>6</v>
      </c>
      <c r="C11" s="5" t="s">
        <v>9</v>
      </c>
      <c r="D11" s="5">
        <v>8.26E-3</v>
      </c>
      <c r="E11" s="3">
        <v>8.5950000000000002E-3</v>
      </c>
    </row>
    <row r="12" spans="1:14" x14ac:dyDescent="0.3">
      <c r="B12" s="5" t="s">
        <v>6</v>
      </c>
      <c r="C12" s="5" t="s">
        <v>10</v>
      </c>
      <c r="D12" s="5">
        <v>0.31</v>
      </c>
      <c r="E12" s="33">
        <v>0.31378699999999998</v>
      </c>
    </row>
    <row r="13" spans="1:14" ht="15" thickBot="1" x14ac:dyDescent="0.35">
      <c r="B13" s="6" t="s">
        <v>6</v>
      </c>
      <c r="C13" s="6" t="s">
        <v>11</v>
      </c>
      <c r="D13" s="6">
        <v>0.41</v>
      </c>
      <c r="E13" s="34">
        <v>0.41648800000000002</v>
      </c>
    </row>
    <row r="18" spans="1:8" x14ac:dyDescent="0.3">
      <c r="A18" t="s">
        <v>1</v>
      </c>
      <c r="B18" s="1" t="s">
        <v>13</v>
      </c>
      <c r="C18" s="1"/>
      <c r="D18" s="1"/>
      <c r="E18" s="1"/>
      <c r="F18" s="1"/>
      <c r="G18" s="1"/>
      <c r="H18" s="1"/>
    </row>
    <row r="19" spans="1:8" x14ac:dyDescent="0.3">
      <c r="B19" s="11" t="s">
        <v>23</v>
      </c>
      <c r="C19" s="11"/>
    </row>
    <row r="20" spans="1:8" ht="15" thickBot="1" x14ac:dyDescent="0.35"/>
    <row r="21" spans="1:8" ht="15" thickBot="1" x14ac:dyDescent="0.35">
      <c r="B21" s="7" t="s">
        <v>2</v>
      </c>
      <c r="C21" s="8" t="s">
        <v>3</v>
      </c>
      <c r="D21" s="9" t="s">
        <v>4</v>
      </c>
      <c r="E21" s="10" t="s">
        <v>5</v>
      </c>
    </row>
    <row r="22" spans="1:8" x14ac:dyDescent="0.3">
      <c r="B22" s="5" t="s">
        <v>6</v>
      </c>
      <c r="C22" s="5" t="s">
        <v>14</v>
      </c>
      <c r="D22" s="16">
        <v>0.86299999999999999</v>
      </c>
      <c r="E22" s="19">
        <v>0.86350000000000005</v>
      </c>
    </row>
    <row r="23" spans="1:8" x14ac:dyDescent="0.3">
      <c r="B23" s="5" t="s">
        <v>6</v>
      </c>
      <c r="C23" s="5" t="s">
        <v>15</v>
      </c>
      <c r="D23" s="16">
        <v>0.875</v>
      </c>
      <c r="E23" s="19">
        <v>0.87839999999999996</v>
      </c>
    </row>
    <row r="24" spans="1:8" ht="15" thickBot="1" x14ac:dyDescent="0.35">
      <c r="B24" s="6" t="s">
        <v>6</v>
      </c>
      <c r="C24" s="6" t="s">
        <v>16</v>
      </c>
      <c r="D24" s="17">
        <v>0.89600000000000002</v>
      </c>
      <c r="E24" s="20">
        <v>0.86270000000000002</v>
      </c>
    </row>
    <row r="25" spans="1:8" x14ac:dyDescent="0.3">
      <c r="D25" s="31"/>
      <c r="E25" s="31"/>
    </row>
    <row r="26" spans="1:8" x14ac:dyDescent="0.3">
      <c r="D26" s="31"/>
      <c r="E26" s="31"/>
    </row>
    <row r="27" spans="1:8" x14ac:dyDescent="0.3">
      <c r="D27" s="31"/>
      <c r="E27" s="31"/>
    </row>
    <row r="28" spans="1:8" x14ac:dyDescent="0.3">
      <c r="D28" s="31"/>
      <c r="E28" s="31"/>
    </row>
    <row r="29" spans="1:8" x14ac:dyDescent="0.3">
      <c r="D29" s="31"/>
      <c r="E29" s="31"/>
    </row>
    <row r="30" spans="1:8" x14ac:dyDescent="0.3">
      <c r="A30" t="s">
        <v>1</v>
      </c>
      <c r="B30" s="1" t="s">
        <v>41</v>
      </c>
      <c r="C30" s="1"/>
      <c r="D30" s="1"/>
      <c r="E30" s="1"/>
      <c r="F30" s="1"/>
      <c r="G30" s="1"/>
      <c r="H30" s="1"/>
    </row>
    <row r="31" spans="1:8" x14ac:dyDescent="0.3">
      <c r="B31" s="11" t="s">
        <v>24</v>
      </c>
      <c r="C31" s="11"/>
      <c r="D31" s="11"/>
    </row>
    <row r="32" spans="1:8" ht="15" thickBot="1" x14ac:dyDescent="0.35"/>
    <row r="33" spans="1:8" ht="15" thickBot="1" x14ac:dyDescent="0.35">
      <c r="B33" s="7" t="s">
        <v>2</v>
      </c>
      <c r="C33" s="8" t="s">
        <v>3</v>
      </c>
      <c r="D33" s="9" t="s">
        <v>4</v>
      </c>
      <c r="E33" s="10" t="s">
        <v>5</v>
      </c>
      <c r="F33" s="9" t="s">
        <v>42</v>
      </c>
      <c r="G33" s="9" t="s">
        <v>43</v>
      </c>
    </row>
    <row r="34" spans="1:8" x14ac:dyDescent="0.3">
      <c r="B34" s="5" t="s">
        <v>6</v>
      </c>
      <c r="C34" s="5" t="s">
        <v>17</v>
      </c>
      <c r="D34" s="5">
        <v>240</v>
      </c>
      <c r="E34" s="3">
        <v>289</v>
      </c>
      <c r="F34" s="16">
        <f>D34/$D$38</f>
        <v>0.46966731898238745</v>
      </c>
      <c r="G34" s="16">
        <f>E34/$E$38</f>
        <v>0.45873015873015871</v>
      </c>
    </row>
    <row r="35" spans="1:8" x14ac:dyDescent="0.3">
      <c r="B35" s="5" t="s">
        <v>6</v>
      </c>
      <c r="C35" s="5" t="s">
        <v>18</v>
      </c>
      <c r="D35" s="5">
        <v>201</v>
      </c>
      <c r="E35" s="3">
        <v>255</v>
      </c>
      <c r="F35" s="16">
        <f t="shared" ref="F35:F38" si="0">D35/$D$38</f>
        <v>0.39334637964774949</v>
      </c>
      <c r="G35" s="16">
        <f t="shared" ref="G35:G38" si="1">E35/$E$38</f>
        <v>0.40476190476190477</v>
      </c>
    </row>
    <row r="36" spans="1:8" x14ac:dyDescent="0.3">
      <c r="B36" s="5" t="s">
        <v>6</v>
      </c>
      <c r="C36" s="5" t="s">
        <v>19</v>
      </c>
      <c r="D36" s="5">
        <v>34</v>
      </c>
      <c r="E36" s="3">
        <v>40</v>
      </c>
      <c r="F36" s="16">
        <f t="shared" si="0"/>
        <v>6.6536203522504889E-2</v>
      </c>
      <c r="G36" s="16">
        <f t="shared" si="1"/>
        <v>6.3492063492063489E-2</v>
      </c>
    </row>
    <row r="37" spans="1:8" ht="15" thickBot="1" x14ac:dyDescent="0.35">
      <c r="B37" s="5" t="s">
        <v>6</v>
      </c>
      <c r="C37" s="5" t="s">
        <v>20</v>
      </c>
      <c r="D37" s="5">
        <v>36</v>
      </c>
      <c r="E37" s="3">
        <v>46</v>
      </c>
      <c r="F37" s="16">
        <f t="shared" si="0"/>
        <v>7.0450097847358117E-2</v>
      </c>
      <c r="G37" s="16">
        <f t="shared" si="1"/>
        <v>7.301587301587302E-2</v>
      </c>
    </row>
    <row r="38" spans="1:8" ht="15" thickBot="1" x14ac:dyDescent="0.35">
      <c r="B38" s="6" t="s">
        <v>6</v>
      </c>
      <c r="C38" s="6" t="s">
        <v>21</v>
      </c>
      <c r="D38" s="4">
        <v>511</v>
      </c>
      <c r="E38" s="2">
        <v>630</v>
      </c>
      <c r="F38" s="18">
        <f t="shared" si="0"/>
        <v>1</v>
      </c>
      <c r="G38" s="18">
        <f t="shared" si="1"/>
        <v>1</v>
      </c>
    </row>
    <row r="39" spans="1:8" x14ac:dyDescent="0.3">
      <c r="F39" s="31"/>
      <c r="G39" s="31"/>
    </row>
    <row r="40" spans="1:8" x14ac:dyDescent="0.3">
      <c r="F40" s="31"/>
      <c r="G40" s="31"/>
    </row>
    <row r="41" spans="1:8" x14ac:dyDescent="0.3">
      <c r="F41" s="31"/>
      <c r="G41" s="31"/>
    </row>
    <row r="42" spans="1:8" x14ac:dyDescent="0.3">
      <c r="F42" s="31"/>
      <c r="G42" s="31"/>
    </row>
    <row r="44" spans="1:8" x14ac:dyDescent="0.3">
      <c r="A44" t="s">
        <v>1</v>
      </c>
      <c r="B44" s="1" t="s">
        <v>25</v>
      </c>
      <c r="C44" s="1"/>
      <c r="D44" s="1"/>
      <c r="E44" s="1"/>
      <c r="F44" s="1"/>
      <c r="G44" s="1"/>
      <c r="H44" s="1"/>
    </row>
    <row r="45" spans="1:8" x14ac:dyDescent="0.3">
      <c r="B45" s="11" t="s">
        <v>26</v>
      </c>
    </row>
    <row r="46" spans="1:8" ht="15" thickBot="1" x14ac:dyDescent="0.35"/>
    <row r="47" spans="1:8" ht="15" thickBot="1" x14ac:dyDescent="0.35">
      <c r="B47" s="7" t="s">
        <v>27</v>
      </c>
      <c r="C47" s="7" t="s">
        <v>2</v>
      </c>
      <c r="D47" s="7" t="s">
        <v>3</v>
      </c>
      <c r="E47" s="9" t="s">
        <v>4</v>
      </c>
      <c r="F47" s="9" t="s">
        <v>5</v>
      </c>
    </row>
    <row r="48" spans="1:8" x14ac:dyDescent="0.3">
      <c r="B48" s="5" t="s">
        <v>66</v>
      </c>
      <c r="C48" s="5" t="s">
        <v>6</v>
      </c>
      <c r="D48" s="5" t="s">
        <v>14</v>
      </c>
      <c r="E48" s="16">
        <v>0.86299999999999999</v>
      </c>
      <c r="F48" s="16">
        <v>0.86350000000000005</v>
      </c>
    </row>
    <row r="49" spans="1:8" x14ac:dyDescent="0.3">
      <c r="B49" s="5" t="s">
        <v>67</v>
      </c>
      <c r="C49" s="5" t="s">
        <v>6</v>
      </c>
      <c r="D49" s="5" t="s">
        <v>15</v>
      </c>
      <c r="E49" s="16">
        <v>0.875</v>
      </c>
      <c r="F49" s="16">
        <v>0.87849999999999995</v>
      </c>
    </row>
    <row r="50" spans="1:8" x14ac:dyDescent="0.3">
      <c r="B50" s="5" t="s">
        <v>68</v>
      </c>
      <c r="C50" s="5" t="s">
        <v>6</v>
      </c>
      <c r="D50" s="5" t="s">
        <v>16</v>
      </c>
      <c r="E50" s="16">
        <v>0.89600000000000002</v>
      </c>
      <c r="F50" s="16">
        <v>0.86270000000000002</v>
      </c>
    </row>
    <row r="51" spans="1:8" x14ac:dyDescent="0.3">
      <c r="B51" s="5" t="s">
        <v>69</v>
      </c>
      <c r="C51" s="5" t="s">
        <v>6</v>
      </c>
      <c r="D51" s="5" t="s">
        <v>14</v>
      </c>
      <c r="E51" s="16">
        <v>0.84699999999999998</v>
      </c>
      <c r="F51" s="16">
        <v>0.85399999999999998</v>
      </c>
    </row>
    <row r="52" spans="1:8" x14ac:dyDescent="0.3">
      <c r="B52" s="5" t="s">
        <v>70</v>
      </c>
      <c r="C52" s="5" t="s">
        <v>6</v>
      </c>
      <c r="D52" s="5" t="s">
        <v>15</v>
      </c>
      <c r="E52" s="16">
        <v>0.86299999999999999</v>
      </c>
      <c r="F52" s="16">
        <v>0.83840000000000003</v>
      </c>
    </row>
    <row r="53" spans="1:8" x14ac:dyDescent="0.3">
      <c r="B53" s="5" t="s">
        <v>71</v>
      </c>
      <c r="C53" s="5" t="s">
        <v>6</v>
      </c>
      <c r="D53" s="5" t="s">
        <v>16</v>
      </c>
      <c r="E53" s="16">
        <v>0.89100000000000001</v>
      </c>
      <c r="F53" s="16">
        <v>0.89849999999999997</v>
      </c>
    </row>
    <row r="54" spans="1:8" x14ac:dyDescent="0.3">
      <c r="B54" s="5" t="s">
        <v>72</v>
      </c>
      <c r="C54" s="5" t="s">
        <v>6</v>
      </c>
      <c r="D54" s="5" t="s">
        <v>14</v>
      </c>
      <c r="E54" s="16">
        <v>0.83099999999999996</v>
      </c>
      <c r="F54" s="16">
        <v>0.83020000000000005</v>
      </c>
    </row>
    <row r="55" spans="1:8" x14ac:dyDescent="0.3">
      <c r="B55" s="5" t="s">
        <v>73</v>
      </c>
      <c r="C55" s="5" t="s">
        <v>6</v>
      </c>
      <c r="D55" s="5" t="s">
        <v>15</v>
      </c>
      <c r="E55" s="16">
        <v>0.83399999999999996</v>
      </c>
      <c r="F55" s="16">
        <v>0.83140000000000003</v>
      </c>
    </row>
    <row r="56" spans="1:8" x14ac:dyDescent="0.3">
      <c r="B56" s="5" t="s">
        <v>74</v>
      </c>
      <c r="C56" s="5" t="s">
        <v>6</v>
      </c>
      <c r="D56" s="5" t="s">
        <v>16</v>
      </c>
      <c r="E56" s="16">
        <v>0.85799999999999998</v>
      </c>
      <c r="F56" s="16">
        <v>0.85370000000000001</v>
      </c>
    </row>
    <row r="57" spans="1:8" x14ac:dyDescent="0.3">
      <c r="B57" s="5" t="s">
        <v>75</v>
      </c>
      <c r="C57" s="5" t="s">
        <v>6</v>
      </c>
      <c r="D57" s="5" t="s">
        <v>14</v>
      </c>
      <c r="E57" s="16">
        <v>0.82599999999999996</v>
      </c>
      <c r="F57" s="16">
        <v>0.8286</v>
      </c>
    </row>
    <row r="58" spans="1:8" x14ac:dyDescent="0.3">
      <c r="B58" s="5" t="s">
        <v>76</v>
      </c>
      <c r="C58" s="5" t="s">
        <v>6</v>
      </c>
      <c r="D58" s="5" t="s">
        <v>15</v>
      </c>
      <c r="E58" s="16">
        <v>0.83</v>
      </c>
      <c r="F58" s="16">
        <v>0.83279999999999998</v>
      </c>
    </row>
    <row r="59" spans="1:8" ht="15" thickBot="1" x14ac:dyDescent="0.35">
      <c r="B59" s="6" t="s">
        <v>77</v>
      </c>
      <c r="C59" s="6" t="s">
        <v>6</v>
      </c>
      <c r="D59" s="6" t="s">
        <v>16</v>
      </c>
      <c r="E59" s="17">
        <v>0.85099999999999998</v>
      </c>
      <c r="F59" s="17">
        <v>0.8478</v>
      </c>
    </row>
    <row r="61" spans="1:8" x14ac:dyDescent="0.3">
      <c r="A61" t="s">
        <v>1</v>
      </c>
      <c r="B61" s="1" t="s">
        <v>32</v>
      </c>
      <c r="C61" s="1"/>
      <c r="D61" s="1"/>
      <c r="E61" s="1"/>
      <c r="F61" s="1"/>
      <c r="G61" s="1"/>
      <c r="H61" s="1"/>
    </row>
    <row r="62" spans="1:8" x14ac:dyDescent="0.3">
      <c r="B62" s="11" t="s">
        <v>33</v>
      </c>
    </row>
    <row r="63" spans="1:8" ht="15" thickBot="1" x14ac:dyDescent="0.35"/>
    <row r="64" spans="1:8" ht="15" thickBot="1" x14ac:dyDescent="0.35">
      <c r="B64" s="7" t="s">
        <v>27</v>
      </c>
      <c r="C64" s="7" t="s">
        <v>34</v>
      </c>
      <c r="D64" s="9" t="s">
        <v>35</v>
      </c>
      <c r="E64" s="9" t="s">
        <v>6</v>
      </c>
      <c r="F64" s="10" t="s">
        <v>36</v>
      </c>
    </row>
    <row r="65" spans="2:6" x14ac:dyDescent="0.3">
      <c r="B65" s="5" t="s">
        <v>28</v>
      </c>
      <c r="C65" s="5" t="s">
        <v>37</v>
      </c>
      <c r="D65" s="14">
        <v>0.73099999999999998</v>
      </c>
      <c r="E65" s="14">
        <v>0.7</v>
      </c>
      <c r="F65" s="12">
        <v>-3.1E-2</v>
      </c>
    </row>
    <row r="66" spans="2:6" x14ac:dyDescent="0.3">
      <c r="B66" s="5" t="s">
        <v>28</v>
      </c>
      <c r="C66" s="5" t="s">
        <v>38</v>
      </c>
      <c r="D66" s="14">
        <v>6.9000000000000006E-2</v>
      </c>
      <c r="E66" s="14">
        <v>0.05</v>
      </c>
      <c r="F66" s="12">
        <v>-1.9E-2</v>
      </c>
    </row>
    <row r="67" spans="2:6" x14ac:dyDescent="0.3">
      <c r="B67" s="5" t="s">
        <v>28</v>
      </c>
      <c r="C67" s="5" t="s">
        <v>39</v>
      </c>
      <c r="D67" s="14">
        <v>0.128</v>
      </c>
      <c r="E67" s="14">
        <v>0.159</v>
      </c>
      <c r="F67" s="12">
        <v>3.1E-2</v>
      </c>
    </row>
    <row r="68" spans="2:6" x14ac:dyDescent="0.3">
      <c r="B68" s="5" t="s">
        <v>28</v>
      </c>
      <c r="C68" s="5" t="s">
        <v>40</v>
      </c>
      <c r="D68" s="14">
        <v>7.1999999999999995E-2</v>
      </c>
      <c r="E68" s="14">
        <v>8.5000000000000006E-2</v>
      </c>
      <c r="F68" s="12">
        <v>1.2999999999999999E-2</v>
      </c>
    </row>
    <row r="69" spans="2:6" x14ac:dyDescent="0.3">
      <c r="B69" s="5" t="s">
        <v>29</v>
      </c>
      <c r="C69" s="5" t="s">
        <v>37</v>
      </c>
      <c r="D69" s="14">
        <v>0.73499999999999999</v>
      </c>
      <c r="E69" s="14">
        <v>0.68400000000000005</v>
      </c>
      <c r="F69" s="12">
        <v>-5.0999999999999997E-2</v>
      </c>
    </row>
    <row r="70" spans="2:6" x14ac:dyDescent="0.3">
      <c r="B70" s="5" t="s">
        <v>29</v>
      </c>
      <c r="C70" s="5" t="s">
        <v>38</v>
      </c>
      <c r="D70" s="14">
        <v>4.2000000000000003E-2</v>
      </c>
      <c r="E70" s="14">
        <v>5.3999999999999999E-2</v>
      </c>
      <c r="F70" s="12">
        <v>1.2E-2</v>
      </c>
    </row>
    <row r="71" spans="2:6" x14ac:dyDescent="0.3">
      <c r="B71" s="5" t="s">
        <v>29</v>
      </c>
      <c r="C71" s="5" t="s">
        <v>39</v>
      </c>
      <c r="D71" s="14">
        <v>0.151</v>
      </c>
      <c r="E71" s="14">
        <v>0.16500000000000001</v>
      </c>
      <c r="F71" s="12">
        <v>1.4E-2</v>
      </c>
    </row>
    <row r="72" spans="2:6" x14ac:dyDescent="0.3">
      <c r="B72" s="5" t="s">
        <v>29</v>
      </c>
      <c r="C72" s="5" t="s">
        <v>40</v>
      </c>
      <c r="D72" s="14">
        <v>7.1999999999999995E-2</v>
      </c>
      <c r="E72" s="14">
        <v>9.6000000000000002E-2</v>
      </c>
      <c r="F72" s="12">
        <v>2.4E-2</v>
      </c>
    </row>
    <row r="73" spans="2:6" x14ac:dyDescent="0.3">
      <c r="B73" s="5" t="s">
        <v>30</v>
      </c>
      <c r="C73" s="5" t="s">
        <v>37</v>
      </c>
      <c r="D73" s="14">
        <v>0.75900000000000001</v>
      </c>
      <c r="E73" s="14">
        <v>0.70799999999999996</v>
      </c>
      <c r="F73" s="12">
        <v>-5.0999999999999997E-2</v>
      </c>
    </row>
    <row r="74" spans="2:6" x14ac:dyDescent="0.3">
      <c r="B74" s="5" t="s">
        <v>30</v>
      </c>
      <c r="C74" s="5" t="s">
        <v>38</v>
      </c>
      <c r="D74" s="14">
        <v>5.1999999999999998E-2</v>
      </c>
      <c r="E74" s="14">
        <v>6.7000000000000004E-2</v>
      </c>
      <c r="F74" s="12">
        <v>1.4999999999999999E-2</v>
      </c>
    </row>
    <row r="75" spans="2:6" x14ac:dyDescent="0.3">
      <c r="B75" s="5" t="s">
        <v>30</v>
      </c>
      <c r="C75" s="5" t="s">
        <v>39</v>
      </c>
      <c r="D75" s="14">
        <v>0.114</v>
      </c>
      <c r="E75" s="14">
        <v>0.122</v>
      </c>
      <c r="F75" s="12">
        <v>8.0000000000000002E-3</v>
      </c>
    </row>
    <row r="76" spans="2:6" x14ac:dyDescent="0.3">
      <c r="B76" s="5" t="s">
        <v>30</v>
      </c>
      <c r="C76" s="5" t="s">
        <v>40</v>
      </c>
      <c r="D76" s="14">
        <v>7.4999999999999997E-2</v>
      </c>
      <c r="E76" s="14">
        <v>9.7000000000000003E-2</v>
      </c>
      <c r="F76" s="12">
        <v>2.1999999999999999E-2</v>
      </c>
    </row>
    <row r="77" spans="2:6" x14ac:dyDescent="0.3">
      <c r="B77" s="5" t="s">
        <v>31</v>
      </c>
      <c r="C77" s="5" t="s">
        <v>37</v>
      </c>
      <c r="D77" s="14">
        <v>0.80200000000000005</v>
      </c>
      <c r="E77" s="14">
        <v>0.73799999999999999</v>
      </c>
      <c r="F77" s="12">
        <v>-6.4000000000000001E-2</v>
      </c>
    </row>
    <row r="78" spans="2:6" x14ac:dyDescent="0.3">
      <c r="B78" s="5" t="s">
        <v>31</v>
      </c>
      <c r="C78" s="5" t="s">
        <v>38</v>
      </c>
      <c r="D78" s="14">
        <v>4.2999999999999997E-2</v>
      </c>
      <c r="E78" s="14">
        <v>7.0000000000000007E-2</v>
      </c>
      <c r="F78" s="12">
        <v>2.7E-2</v>
      </c>
    </row>
    <row r="79" spans="2:6" x14ac:dyDescent="0.3">
      <c r="B79" s="5" t="s">
        <v>31</v>
      </c>
      <c r="C79" s="5" t="s">
        <v>39</v>
      </c>
      <c r="D79" s="14">
        <v>8.1000000000000003E-2</v>
      </c>
      <c r="E79" s="14">
        <v>8.8999999999999996E-2</v>
      </c>
      <c r="F79" s="12">
        <v>8.0000000000000002E-3</v>
      </c>
    </row>
    <row r="80" spans="2:6" ht="15" thickBot="1" x14ac:dyDescent="0.35">
      <c r="B80" s="6" t="s">
        <v>31</v>
      </c>
      <c r="C80" s="6" t="s">
        <v>40</v>
      </c>
      <c r="D80" s="15">
        <v>7.3999999999999996E-2</v>
      </c>
      <c r="E80" s="15">
        <v>0.1</v>
      </c>
      <c r="F80" s="13">
        <v>2.5999999999999999E-2</v>
      </c>
    </row>
  </sheetData>
  <mergeCells count="1">
    <mergeCell ref="B2:N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8B214-A121-4CC7-8346-7FF7177F6A57}">
  <dimension ref="A2:N53"/>
  <sheetViews>
    <sheetView showGridLines="0" zoomScale="40" zoomScaleNormal="40" workbookViewId="0">
      <selection activeCell="U62" sqref="U62"/>
    </sheetView>
  </sheetViews>
  <sheetFormatPr defaultRowHeight="14.4" x14ac:dyDescent="0.3"/>
  <cols>
    <col min="1" max="1" width="1.88671875" customWidth="1"/>
    <col min="2" max="2" width="25.5546875" bestFit="1" customWidth="1"/>
    <col min="3" max="3" width="18.77734375" bestFit="1" customWidth="1"/>
    <col min="4" max="4" width="10.5546875" customWidth="1"/>
  </cols>
  <sheetData>
    <row r="2" spans="1:14" x14ac:dyDescent="0.3">
      <c r="B2" s="35" t="s">
        <v>44</v>
      </c>
      <c r="C2" s="35"/>
      <c r="D2" s="35"/>
      <c r="E2" s="35"/>
      <c r="F2" s="35"/>
      <c r="G2" s="35"/>
      <c r="H2" s="35"/>
      <c r="I2" s="35"/>
      <c r="J2" s="35"/>
      <c r="K2" s="35"/>
      <c r="L2" s="35"/>
      <c r="M2" s="35"/>
      <c r="N2" s="35"/>
    </row>
    <row r="3" spans="1:14" x14ac:dyDescent="0.3">
      <c r="B3" s="35"/>
      <c r="C3" s="35"/>
      <c r="D3" s="35"/>
      <c r="E3" s="35"/>
      <c r="F3" s="35"/>
      <c r="G3" s="35"/>
      <c r="H3" s="35"/>
      <c r="I3" s="35"/>
      <c r="J3" s="35"/>
      <c r="K3" s="35"/>
      <c r="L3" s="35"/>
      <c r="M3" s="35"/>
      <c r="N3" s="35"/>
    </row>
    <row r="5" spans="1:14" x14ac:dyDescent="0.3">
      <c r="A5" t="s">
        <v>1</v>
      </c>
      <c r="B5" s="1" t="s">
        <v>65</v>
      </c>
      <c r="C5" s="1"/>
      <c r="D5" s="1"/>
      <c r="E5" s="1"/>
      <c r="F5" s="1"/>
    </row>
    <row r="6" spans="1:14" x14ac:dyDescent="0.3">
      <c r="B6" s="11" t="s">
        <v>45</v>
      </c>
    </row>
    <row r="7" spans="1:14" ht="15" thickBot="1" x14ac:dyDescent="0.35"/>
    <row r="8" spans="1:14" ht="15" thickBot="1" x14ac:dyDescent="0.35">
      <c r="B8" s="7" t="s">
        <v>3</v>
      </c>
      <c r="C8" s="9" t="s">
        <v>4</v>
      </c>
      <c r="D8" s="9" t="s">
        <v>5</v>
      </c>
    </row>
    <row r="9" spans="1:14" x14ac:dyDescent="0.3">
      <c r="B9" s="21" t="s">
        <v>46</v>
      </c>
      <c r="C9" s="5">
        <v>149</v>
      </c>
      <c r="D9" s="5">
        <v>268</v>
      </c>
    </row>
    <row r="10" spans="1:14" x14ac:dyDescent="0.3">
      <c r="B10" s="21" t="s">
        <v>47</v>
      </c>
      <c r="C10" s="5">
        <v>75</v>
      </c>
      <c r="D10" s="5">
        <v>136</v>
      </c>
    </row>
    <row r="11" spans="1:14" x14ac:dyDescent="0.3">
      <c r="B11" s="21" t="s">
        <v>48</v>
      </c>
      <c r="C11" s="5">
        <v>74</v>
      </c>
      <c r="D11" s="5">
        <v>132</v>
      </c>
    </row>
    <row r="12" spans="1:14" x14ac:dyDescent="0.3">
      <c r="B12" s="27" t="s">
        <v>49</v>
      </c>
      <c r="C12" s="28">
        <v>0.50339999999999996</v>
      </c>
      <c r="D12" s="28">
        <v>0.50749999999999995</v>
      </c>
    </row>
    <row r="13" spans="1:14" ht="15" thickBot="1" x14ac:dyDescent="0.35">
      <c r="B13" s="29" t="s">
        <v>50</v>
      </c>
      <c r="C13" s="30">
        <v>0.49659999999999999</v>
      </c>
      <c r="D13" s="30">
        <v>0.49249999999999999</v>
      </c>
    </row>
    <row r="18" spans="1:6" x14ac:dyDescent="0.3">
      <c r="A18" t="s">
        <v>1</v>
      </c>
      <c r="B18" s="1" t="s">
        <v>64</v>
      </c>
      <c r="C18" s="1"/>
      <c r="D18" s="1"/>
      <c r="E18" s="1"/>
      <c r="F18" s="1"/>
    </row>
    <row r="19" spans="1:6" x14ac:dyDescent="0.3">
      <c r="B19" s="11" t="s">
        <v>51</v>
      </c>
    </row>
    <row r="20" spans="1:6" ht="15" thickBot="1" x14ac:dyDescent="0.35"/>
    <row r="21" spans="1:6" ht="15" thickBot="1" x14ac:dyDescent="0.35">
      <c r="B21" s="7" t="s">
        <v>3</v>
      </c>
      <c r="C21" s="9" t="s">
        <v>4</v>
      </c>
      <c r="D21" s="9" t="s">
        <v>5</v>
      </c>
    </row>
    <row r="22" spans="1:6" x14ac:dyDescent="0.3">
      <c r="B22" s="23" t="s">
        <v>49</v>
      </c>
      <c r="C22" s="26">
        <v>0.44</v>
      </c>
      <c r="D22" s="26">
        <v>0.50219999999999998</v>
      </c>
    </row>
    <row r="23" spans="1:6" ht="15" thickBot="1" x14ac:dyDescent="0.35">
      <c r="B23" s="22" t="s">
        <v>52</v>
      </c>
      <c r="C23" s="17">
        <v>0.56000000000000005</v>
      </c>
      <c r="D23" s="17">
        <v>0.49780000000000002</v>
      </c>
    </row>
    <row r="24" spans="1:6" x14ac:dyDescent="0.3">
      <c r="B24" s="11"/>
      <c r="C24" s="31"/>
      <c r="D24" s="31"/>
    </row>
    <row r="25" spans="1:6" x14ac:dyDescent="0.3">
      <c r="B25" s="11"/>
      <c r="C25" s="31"/>
      <c r="D25" s="31"/>
    </row>
    <row r="26" spans="1:6" x14ac:dyDescent="0.3">
      <c r="B26" s="11"/>
      <c r="C26" s="31"/>
      <c r="D26" s="31"/>
    </row>
    <row r="27" spans="1:6" x14ac:dyDescent="0.3">
      <c r="B27" s="11"/>
      <c r="C27" s="31"/>
      <c r="D27" s="31"/>
    </row>
    <row r="28" spans="1:6" x14ac:dyDescent="0.3">
      <c r="B28" s="11"/>
      <c r="C28" s="31"/>
      <c r="D28" s="31"/>
    </row>
    <row r="29" spans="1:6" x14ac:dyDescent="0.3">
      <c r="B29" s="11"/>
      <c r="C29" s="31"/>
      <c r="D29" s="31"/>
    </row>
    <row r="31" spans="1:6" x14ac:dyDescent="0.3">
      <c r="A31" t="s">
        <v>1</v>
      </c>
      <c r="B31" s="1" t="s">
        <v>53</v>
      </c>
      <c r="C31" s="1"/>
      <c r="D31" s="1"/>
      <c r="E31" s="1"/>
      <c r="F31" s="1"/>
    </row>
    <row r="32" spans="1:6" x14ac:dyDescent="0.3">
      <c r="B32" s="11" t="s">
        <v>58</v>
      </c>
    </row>
    <row r="33" spans="1:6" ht="15" thickBot="1" x14ac:dyDescent="0.35"/>
    <row r="34" spans="1:6" ht="15" thickBot="1" x14ac:dyDescent="0.35">
      <c r="B34" s="7" t="s">
        <v>54</v>
      </c>
      <c r="C34" s="9" t="s">
        <v>4</v>
      </c>
      <c r="D34" s="9" t="s">
        <v>5</v>
      </c>
    </row>
    <row r="35" spans="1:6" x14ac:dyDescent="0.3">
      <c r="B35" s="23" t="s">
        <v>55</v>
      </c>
      <c r="C35" s="24">
        <v>0.82499999999999996</v>
      </c>
      <c r="D35" s="12">
        <v>4.4299999999999999E-2</v>
      </c>
    </row>
    <row r="36" spans="1:6" x14ac:dyDescent="0.3">
      <c r="B36" s="21" t="s">
        <v>56</v>
      </c>
      <c r="C36" s="14">
        <v>0.15</v>
      </c>
      <c r="D36" s="12">
        <v>0.87339999999999995</v>
      </c>
    </row>
    <row r="37" spans="1:6" ht="15" thickBot="1" x14ac:dyDescent="0.35">
      <c r="B37" s="22" t="s">
        <v>57</v>
      </c>
      <c r="C37" s="15">
        <v>2.5000000000000001E-2</v>
      </c>
      <c r="D37" s="13">
        <v>8.2299999999999998E-2</v>
      </c>
    </row>
    <row r="38" spans="1:6" x14ac:dyDescent="0.3">
      <c r="B38" s="11"/>
      <c r="C38" s="32"/>
      <c r="D38" s="32"/>
    </row>
    <row r="39" spans="1:6" x14ac:dyDescent="0.3">
      <c r="B39" s="11"/>
      <c r="C39" s="32"/>
      <c r="D39" s="32"/>
    </row>
    <row r="40" spans="1:6" x14ac:dyDescent="0.3">
      <c r="B40" s="11"/>
      <c r="C40" s="32"/>
      <c r="D40" s="32"/>
    </row>
    <row r="41" spans="1:6" x14ac:dyDescent="0.3">
      <c r="B41" s="11"/>
      <c r="C41" s="32"/>
      <c r="D41" s="32"/>
    </row>
    <row r="42" spans="1:6" x14ac:dyDescent="0.3">
      <c r="B42" s="11"/>
      <c r="C42" s="32"/>
      <c r="D42" s="32"/>
    </row>
    <row r="43" spans="1:6" x14ac:dyDescent="0.3">
      <c r="B43" s="11"/>
      <c r="C43" s="32"/>
      <c r="D43" s="32"/>
    </row>
    <row r="44" spans="1:6" x14ac:dyDescent="0.3">
      <c r="B44" s="11"/>
      <c r="C44" s="32"/>
      <c r="D44" s="32"/>
    </row>
    <row r="46" spans="1:6" x14ac:dyDescent="0.3">
      <c r="A46" t="s">
        <v>1</v>
      </c>
      <c r="B46" s="1" t="s">
        <v>63</v>
      </c>
      <c r="C46" s="1"/>
      <c r="D46" s="1"/>
      <c r="E46" s="1"/>
      <c r="F46" s="1"/>
    </row>
    <row r="47" spans="1:6" x14ac:dyDescent="0.3">
      <c r="B47" s="11" t="s">
        <v>59</v>
      </c>
    </row>
    <row r="48" spans="1:6" ht="15" thickBot="1" x14ac:dyDescent="0.35"/>
    <row r="49" spans="2:5" ht="15" thickBot="1" x14ac:dyDescent="0.35">
      <c r="B49" s="7" t="s">
        <v>60</v>
      </c>
      <c r="C49" s="8" t="s">
        <v>3</v>
      </c>
      <c r="D49" s="9" t="s">
        <v>4</v>
      </c>
      <c r="E49" s="9" t="s">
        <v>5</v>
      </c>
    </row>
    <row r="50" spans="2:5" x14ac:dyDescent="0.3">
      <c r="B50" s="23" t="s">
        <v>61</v>
      </c>
      <c r="C50" s="24" t="s">
        <v>49</v>
      </c>
      <c r="D50" s="25">
        <v>0.68969999999999998</v>
      </c>
      <c r="E50" s="26">
        <v>0.72370000000000001</v>
      </c>
    </row>
    <row r="51" spans="2:5" x14ac:dyDescent="0.3">
      <c r="B51" s="21" t="s">
        <v>61</v>
      </c>
      <c r="C51" s="14" t="s">
        <v>52</v>
      </c>
      <c r="D51" s="12">
        <v>0.31030000000000002</v>
      </c>
      <c r="E51" s="16">
        <v>0.27629999999999999</v>
      </c>
    </row>
    <row r="52" spans="2:5" x14ac:dyDescent="0.3">
      <c r="B52" s="21" t="s">
        <v>62</v>
      </c>
      <c r="C52" s="14" t="s">
        <v>49</v>
      </c>
      <c r="D52" s="12">
        <v>0.51719999999999999</v>
      </c>
      <c r="E52" s="16">
        <v>0.59209999999999996</v>
      </c>
    </row>
    <row r="53" spans="2:5" ht="15" thickBot="1" x14ac:dyDescent="0.35">
      <c r="B53" s="22" t="s">
        <v>62</v>
      </c>
      <c r="C53" s="15" t="s">
        <v>52</v>
      </c>
      <c r="D53" s="13">
        <v>0.48280000000000001</v>
      </c>
      <c r="E53" s="17">
        <v>0.40789999999999998</v>
      </c>
    </row>
  </sheetData>
  <mergeCells count="1">
    <mergeCell ref="B2:N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ML Project</vt:lpstr>
      <vt:lpstr>NLP 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Siddhartha Jain</dc:creator>
  <cp:lastModifiedBy>Siddhartha Jain</cp:lastModifiedBy>
  <dcterms:created xsi:type="dcterms:W3CDTF">2015-06-05T18:17:20Z</dcterms:created>
  <dcterms:modified xsi:type="dcterms:W3CDTF">2026-07-14T17:17:47Z</dcterms:modified>
</cp:coreProperties>
</file>